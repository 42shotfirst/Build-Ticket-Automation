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reed000\Downloads\"/>
    </mc:Choice>
  </mc:AlternateContent>
  <xr:revisionPtr revIDLastSave="0" documentId="8_{DF8508C4-C0E5-4CE2-9EE6-46D99C2C5917}" xr6:coauthVersionLast="47" xr6:coauthVersionMax="47" xr10:uidLastSave="{00000000-0000-0000-0000-000000000000}"/>
  <bookViews>
    <workbookView xWindow="-110" yWindow="-110" windowWidth="25820" windowHeight="15500" xr2:uid="{16DF5E04-DA4C-46DF-A316-2D3947AFB3C8}"/>
  </bookViews>
  <sheets>
    <sheet name="Build_ENV" sheetId="4" r:id="rId1"/>
    <sheet name="Resources" sheetId="1" r:id="rId2"/>
    <sheet name="NSG" sheetId="8" r:id="rId3"/>
    <sheet name="APGW" sheetId="10" r:id="rId4"/>
    <sheet name="ACR NRS" sheetId="9" r:id="rId5"/>
    <sheet name="Resource Options" sheetId="7" r:id="rId6"/>
    <sheet name="Issue and blockers " sheetId="11" r:id="rId7"/>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5" i="4" l="1"/>
  <c r="B124" i="4"/>
  <c r="B123" i="4"/>
  <c r="B156" i="4"/>
  <c r="B155" i="4"/>
  <c r="B154" i="4"/>
  <c r="B143" i="4"/>
  <c r="B142" i="4"/>
  <c r="B141" i="4"/>
  <c r="B140" i="4"/>
  <c r="B139" i="4"/>
  <c r="B138" i="4"/>
  <c r="B137" i="4"/>
  <c r="B136" i="4"/>
  <c r="B135" i="4"/>
  <c r="B134" i="4"/>
  <c r="B133" i="4"/>
  <c r="B132" i="4"/>
  <c r="B131" i="4"/>
  <c r="B112" i="4"/>
  <c r="B111" i="4"/>
  <c r="B110" i="4"/>
  <c r="B109" i="4"/>
  <c r="B108" i="4"/>
  <c r="B107" i="4"/>
  <c r="B106" i="4"/>
  <c r="B105" i="4"/>
  <c r="B104" i="4"/>
  <c r="B103" i="4"/>
  <c r="B102" i="4"/>
  <c r="B101" i="4"/>
  <c r="B100" i="4"/>
  <c r="B103" i="1"/>
  <c r="B108" i="1"/>
  <c r="B107" i="1"/>
  <c r="B125" i="1"/>
  <c r="B124" i="1"/>
  <c r="B123" i="1"/>
  <c r="B106" i="1"/>
  <c r="B112" i="1"/>
  <c r="B111" i="1"/>
  <c r="B110" i="1"/>
  <c r="B109" i="1"/>
  <c r="B105" i="1"/>
  <c r="B104" i="1"/>
  <c r="B102" i="1"/>
  <c r="B101" i="1"/>
  <c r="B10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Travis Paskey</author>
    <author>tc={A44A8100-8DA2-4AF6-87EF-10F27D7D9773}</author>
    <author>tc={EA512E3B-2470-40EF-98E6-B9EB81FC47A9}</author>
  </authors>
  <commentList>
    <comment ref="C40" authorId="0" shapeId="0" xr:uid="{22FBF5FC-2045-4A8D-90EF-AA25E174C5C5}">
      <text>
        <r>
          <rPr>
            <b/>
            <sz val="9"/>
            <color indexed="81"/>
            <rFont val="Tahoma"/>
            <family val="2"/>
          </rPr>
          <t>Travis Paskey:</t>
        </r>
        <r>
          <rPr>
            <sz val="9"/>
            <color indexed="81"/>
            <rFont val="Tahoma"/>
            <family val="2"/>
          </rPr>
          <t xml:space="preserve">
Travis Paskey:
Please give the key a unique name. Do not include the app name or env name. Example: asg_nic, asg_svc, asg_kvlt</t>
        </r>
      </text>
    </comment>
    <comment ref="C44" authorId="0" shapeId="0" xr:uid="{DCA98713-C439-4747-AD76-7247DC9A442D}">
      <text>
        <r>
          <rPr>
            <b/>
            <sz val="9"/>
            <color indexed="81"/>
            <rFont val="Tahoma"/>
            <family val="2"/>
          </rPr>
          <t>Travis Paskey:</t>
        </r>
        <r>
          <rPr>
            <sz val="9"/>
            <color indexed="81"/>
            <rFont val="Tahoma"/>
            <family val="2"/>
          </rPr>
          <t xml:space="preserve">
Travis Paskey:
Please give the key a unique name. Do not include the app name or env name. Example: asg_nic, asg_svc, asg_kvlt</t>
        </r>
      </text>
    </comment>
    <comment ref="C48" authorId="0" shapeId="0" xr:uid="{C9242571-77DC-4701-89E2-6C64EC1F3F5C}">
      <text>
        <r>
          <rPr>
            <b/>
            <sz val="9"/>
            <color indexed="81"/>
            <rFont val="Tahoma"/>
            <family val="2"/>
          </rPr>
          <t>Travis Paskey:</t>
        </r>
        <r>
          <rPr>
            <sz val="9"/>
            <color indexed="81"/>
            <rFont val="Tahoma"/>
            <family val="2"/>
          </rPr>
          <t xml:space="preserve">
Travis Paskey:
Please give the key a unique name. Do not include the app name or env name. Example: snet_svc, snet_sql</t>
        </r>
      </text>
    </comment>
    <comment ref="C63" authorId="0" shapeId="0" xr:uid="{84AD3975-57D2-4318-A721-CA35B78176F7}">
      <text>
        <r>
          <rPr>
            <b/>
            <sz val="9"/>
            <color indexed="81"/>
            <rFont val="Tahoma"/>
            <family val="2"/>
          </rPr>
          <t>Travis Paskey:</t>
        </r>
        <r>
          <rPr>
            <sz val="9"/>
            <color indexed="81"/>
            <rFont val="Tahoma"/>
            <family val="2"/>
          </rPr>
          <t xml:space="preserve">
Please give the key a unique name. Do not include the app name or env name. Example: pe_kvlt, pe_sql, pe_st</t>
        </r>
      </text>
    </comment>
    <comment ref="C66" authorId="0" shapeId="0" xr:uid="{9548656A-4A24-4B76-A9A3-A0838261AB71}">
      <text>
        <r>
          <rPr>
            <b/>
            <sz val="9"/>
            <color indexed="81"/>
            <rFont val="Tahoma"/>
            <family val="2"/>
          </rPr>
          <t>Travis Paskey:</t>
        </r>
        <r>
          <rPr>
            <sz val="9"/>
            <color indexed="81"/>
            <rFont val="Tahoma"/>
            <family val="2"/>
          </rPr>
          <t xml:space="preserve">
https://learn.microsoft.com/en-us/azure/private-link/private-endpoint-overview#private-link-resource</t>
        </r>
      </text>
    </comment>
    <comment ref="C67" authorId="0" shapeId="0" xr:uid="{38E43732-EA54-41BE-B701-D0A80B6221C2}">
      <text>
        <r>
          <rPr>
            <b/>
            <sz val="9"/>
            <color indexed="81"/>
            <rFont val="Tahoma"/>
            <family val="2"/>
          </rPr>
          <t>Travis Paskey:</t>
        </r>
        <r>
          <rPr>
            <sz val="9"/>
            <color indexed="81"/>
            <rFont val="Tahoma"/>
            <family val="2"/>
          </rPr>
          <t xml:space="preserve">
The Azure resource a private connection will be made to. Example Key vault, storage account, etc.</t>
        </r>
      </text>
    </comment>
    <comment ref="C72" authorId="0" shapeId="0" xr:uid="{68609D0B-95E3-4885-BB9A-D01B6857D9BE}">
      <text>
        <r>
          <rPr>
            <b/>
            <sz val="9"/>
            <color indexed="81"/>
            <rFont val="Tahoma"/>
            <family val="2"/>
          </rPr>
          <t>Travis Paskey:</t>
        </r>
        <r>
          <rPr>
            <sz val="9"/>
            <color indexed="81"/>
            <rFont val="Tahoma"/>
            <family val="2"/>
          </rPr>
          <t xml:space="preserve">
Travis Paskey:
Please give the key a unique name. Do not include the app name or env name. Example: kvlt_svc</t>
        </r>
      </text>
    </comment>
    <comment ref="C98" authorId="0" shapeId="0" xr:uid="{CC135CE0-0F6D-4BE9-ACE7-FFECF6DCE234}">
      <text>
        <r>
          <rPr>
            <b/>
            <sz val="9"/>
            <color indexed="81"/>
            <rFont val="Tahoma"/>
            <family val="2"/>
          </rPr>
          <t>Travis Paskey:</t>
        </r>
        <r>
          <rPr>
            <sz val="9"/>
            <color indexed="81"/>
            <rFont val="Tahoma"/>
            <family val="2"/>
          </rPr>
          <t xml:space="preserve">
Travis Paskey:
Please give the key a unique name. Do not include the app name or env name. Example: vm_db1, vm_man1</t>
        </r>
      </text>
    </comment>
    <comment ref="C100" authorId="0" shapeId="0" xr:uid="{91B212F1-41E4-4DEB-BEFC-FA2C0338CE4A}">
      <text>
        <r>
          <rPr>
            <b/>
            <sz val="9"/>
            <color indexed="81"/>
            <rFont val="Tahoma"/>
            <family val="2"/>
          </rPr>
          <t>Travis Paskey:</t>
        </r>
        <r>
          <rPr>
            <sz val="9"/>
            <color indexed="81"/>
            <rFont val="Tahoma"/>
            <family val="2"/>
          </rPr>
          <t xml:space="preserve">
Default = azw-appapptierenvostype001</t>
        </r>
      </text>
    </comment>
    <comment ref="C108" authorId="0" shapeId="0" xr:uid="{59D07061-2F04-468A-BA1C-73F22739305C}">
      <text>
        <r>
          <rPr>
            <sz val="11"/>
            <color theme="1"/>
            <rFont val="Calibri"/>
            <family val="2"/>
            <scheme val="minor"/>
          </rPr>
          <t>Travis Paskey:
To be filled out during validation</t>
        </r>
      </text>
    </comment>
    <comment ref="C113" authorId="0" shapeId="0" xr:uid="{F8402E86-3225-42B7-B692-357021A294BA}">
      <text>
        <r>
          <rPr>
            <b/>
            <sz val="9"/>
            <color indexed="81"/>
            <rFont val="Tahoma"/>
            <family val="2"/>
          </rPr>
          <t>Travis Paskey:</t>
        </r>
        <r>
          <rPr>
            <sz val="9"/>
            <color indexed="81"/>
            <rFont val="Tahoma"/>
            <family val="2"/>
          </rPr>
          <t xml:space="preserve">
Default = CISAdmin</t>
        </r>
      </text>
    </comment>
    <comment ref="C114" authorId="0" shapeId="0" xr:uid="{6655BF94-5A28-43CE-93A3-E6EAF18620E8}">
      <text>
        <r>
          <rPr>
            <b/>
            <sz val="9"/>
            <color indexed="81"/>
            <rFont val="Tahoma"/>
            <family val="2"/>
          </rPr>
          <t>Travis Paskey:</t>
        </r>
        <r>
          <rPr>
            <sz val="9"/>
            <color indexed="81"/>
            <rFont val="Tahoma"/>
            <family val="2"/>
          </rPr>
          <t xml:space="preserve">
Default = null</t>
        </r>
      </text>
    </comment>
    <comment ref="A115" authorId="1" shapeId="0" xr:uid="{A44A8100-8DA2-4AF6-87EF-10F27D7D9773}">
      <text>
        <t>[Threaded comment]
Your version of Excel allows you to read this threaded comment; however, any edits to it will get removed if the file is opened in a newer version of Excel. Learn more: https://go.microsoft.com/fwlink/?linkid=870924
Comment:
    Ask EA</t>
      </text>
    </comment>
    <comment ref="C123" authorId="0" shapeId="0" xr:uid="{84D5D239-CD40-4BED-B77F-5B4CA5F29305}">
      <text>
        <r>
          <rPr>
            <b/>
            <sz val="9"/>
            <color indexed="81"/>
            <rFont val="Tahoma"/>
            <family val="2"/>
          </rPr>
          <t>Travis Paskey:</t>
        </r>
        <r>
          <rPr>
            <sz val="9"/>
            <color indexed="81"/>
            <rFont val="Tahoma"/>
            <family val="2"/>
          </rPr>
          <t xml:space="preserve">
Default = azw-appapptierenvostype001</t>
        </r>
      </text>
    </comment>
    <comment ref="C129" authorId="0" shapeId="0" xr:uid="{BCAF63BA-746D-4498-AF43-CB19FEEAACC6}">
      <text>
        <r>
          <rPr>
            <b/>
            <sz val="9"/>
            <color indexed="81"/>
            <rFont val="Tahoma"/>
            <family val="2"/>
          </rPr>
          <t>Travis Paskey:</t>
        </r>
        <r>
          <rPr>
            <sz val="9"/>
            <color indexed="81"/>
            <rFont val="Tahoma"/>
            <family val="2"/>
          </rPr>
          <t xml:space="preserve">
Travis Paskey:
Please give the key a unique name. Do not include the app name or env name. Example: vm_db1, vm_man1</t>
        </r>
      </text>
    </comment>
    <comment ref="C131" authorId="0" shapeId="0" xr:uid="{9208FEC8-2125-4E90-BA45-59BB3D73DF28}">
      <text>
        <r>
          <rPr>
            <b/>
            <sz val="9"/>
            <color indexed="81"/>
            <rFont val="Tahoma"/>
            <family val="2"/>
          </rPr>
          <t>Travis Paskey:</t>
        </r>
        <r>
          <rPr>
            <sz val="9"/>
            <color indexed="81"/>
            <rFont val="Tahoma"/>
            <family val="2"/>
          </rPr>
          <t xml:space="preserve">
Default = azw-appapptierenvostype001</t>
        </r>
      </text>
    </comment>
    <comment ref="C139" authorId="0" shapeId="0" xr:uid="{188FD966-119F-482E-94B5-BB33DE2D35F8}">
      <text>
        <r>
          <rPr>
            <sz val="11"/>
            <color theme="1"/>
            <rFont val="Calibri"/>
            <family val="2"/>
            <scheme val="minor"/>
          </rPr>
          <t>Travis Paskey:
To be filled out during validation</t>
        </r>
      </text>
    </comment>
    <comment ref="C144" authorId="0" shapeId="0" xr:uid="{B048AFBF-EA9F-4B1F-8B1C-29FD5DDFF2C4}">
      <text>
        <r>
          <rPr>
            <b/>
            <sz val="9"/>
            <color indexed="81"/>
            <rFont val="Tahoma"/>
            <family val="2"/>
          </rPr>
          <t>Travis Paskey:</t>
        </r>
        <r>
          <rPr>
            <sz val="9"/>
            <color indexed="81"/>
            <rFont val="Tahoma"/>
            <family val="2"/>
          </rPr>
          <t xml:space="preserve">
Default = CISAdmin</t>
        </r>
      </text>
    </comment>
    <comment ref="C145" authorId="0" shapeId="0" xr:uid="{84A7233C-46FB-4557-9696-0A48A6806B0B}">
      <text>
        <r>
          <rPr>
            <b/>
            <sz val="9"/>
            <color indexed="81"/>
            <rFont val="Tahoma"/>
            <family val="2"/>
          </rPr>
          <t>Travis Paskey:</t>
        </r>
        <r>
          <rPr>
            <sz val="9"/>
            <color indexed="81"/>
            <rFont val="Tahoma"/>
            <family val="2"/>
          </rPr>
          <t xml:space="preserve">
Default = null</t>
        </r>
      </text>
    </comment>
    <comment ref="A146" authorId="2" shapeId="0" xr:uid="{EA512E3B-2470-40EF-98E6-B9EB81FC47A9}">
      <text>
        <t>[Threaded comment]
Your version of Excel allows you to read this threaded comment; however, any edits to it will get removed if the file is opened in a newer version of Excel. Learn more: https://go.microsoft.com/fwlink/?linkid=870924
Comment:
    Ask EA</t>
      </text>
    </comment>
    <comment ref="C154" authorId="0" shapeId="0" xr:uid="{BFA11E6C-17D9-4BBC-9418-4E09B6BCE4CF}">
      <text>
        <r>
          <rPr>
            <b/>
            <sz val="9"/>
            <color indexed="81"/>
            <rFont val="Tahoma"/>
            <family val="2"/>
          </rPr>
          <t>Travis Paskey:</t>
        </r>
        <r>
          <rPr>
            <sz val="9"/>
            <color indexed="81"/>
            <rFont val="Tahoma"/>
            <family val="2"/>
          </rPr>
          <t xml:space="preserve">
Default = azw-appapptierenvostype001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Travis Paskey</author>
    <author>tc={6631354F-69CC-41FF-BB51-19F1769183EB}</author>
  </authors>
  <commentList>
    <comment ref="C39" authorId="0" shapeId="0" xr:uid="{2B837546-7A02-4DEB-ADF9-71F3089E05E4}">
      <text>
        <r>
          <rPr>
            <b/>
            <sz val="9"/>
            <color indexed="81"/>
            <rFont val="Tahoma"/>
            <family val="2"/>
          </rPr>
          <t>Travis Paskey:</t>
        </r>
        <r>
          <rPr>
            <sz val="9"/>
            <color indexed="81"/>
            <rFont val="Tahoma"/>
            <family val="2"/>
          </rPr>
          <t xml:space="preserve">
Travis Paskey:
Please give the key a unique name. Do not include the app name or env name. Example: snet_svc, snet_sql</t>
        </r>
      </text>
    </comment>
    <comment ref="C49" authorId="0" shapeId="0" xr:uid="{ADCD0311-0287-4984-9B38-1F5F3756D850}">
      <text>
        <r>
          <rPr>
            <b/>
            <sz val="9"/>
            <color indexed="81"/>
            <rFont val="Tahoma"/>
            <family val="2"/>
          </rPr>
          <t>Travis Paskey:</t>
        </r>
        <r>
          <rPr>
            <sz val="9"/>
            <color indexed="81"/>
            <rFont val="Tahoma"/>
            <family val="2"/>
          </rPr>
          <t xml:space="preserve">
Travis Paskey:
Please give the key a unique name. Do not include the app name or env name. Example: asg_nic, asg_svc, asg_kvlt</t>
        </r>
      </text>
    </comment>
    <comment ref="C63" authorId="0" shapeId="0" xr:uid="{86AB13EB-16EC-4AE7-A429-9B4B697D3917}">
      <text>
        <r>
          <rPr>
            <b/>
            <sz val="9"/>
            <color indexed="81"/>
            <rFont val="Tahoma"/>
            <family val="2"/>
          </rPr>
          <t>Travis Paskey:</t>
        </r>
        <r>
          <rPr>
            <sz val="9"/>
            <color indexed="81"/>
            <rFont val="Tahoma"/>
            <family val="2"/>
          </rPr>
          <t xml:space="preserve">
Please give the key a unique name. Do not include the app name or env name. Example: pe_kvlt, pe_sql, pe_st</t>
        </r>
      </text>
    </comment>
    <comment ref="C66" authorId="0" shapeId="0" xr:uid="{6FEC5930-7A76-42AC-AFEA-88A715A80472}">
      <text>
        <r>
          <rPr>
            <b/>
            <sz val="9"/>
            <color indexed="81"/>
            <rFont val="Tahoma"/>
            <family val="2"/>
          </rPr>
          <t>Travis Paskey:</t>
        </r>
        <r>
          <rPr>
            <sz val="9"/>
            <color indexed="81"/>
            <rFont val="Tahoma"/>
            <family val="2"/>
          </rPr>
          <t xml:space="preserve">
https://learn.microsoft.com/en-us/azure/private-link/private-endpoint-overview#private-link-resource</t>
        </r>
      </text>
    </comment>
    <comment ref="C67" authorId="0" shapeId="0" xr:uid="{32167B8D-1CA7-4D79-98D9-A37D221C5C3B}">
      <text>
        <r>
          <rPr>
            <b/>
            <sz val="9"/>
            <color indexed="81"/>
            <rFont val="Tahoma"/>
            <family val="2"/>
          </rPr>
          <t>Travis Paskey:</t>
        </r>
        <r>
          <rPr>
            <sz val="9"/>
            <color indexed="81"/>
            <rFont val="Tahoma"/>
            <family val="2"/>
          </rPr>
          <t xml:space="preserve">
The Azure resource a private connection will be made to. Example Key vault, storage account, etc.</t>
        </r>
      </text>
    </comment>
    <comment ref="C72" authorId="0" shapeId="0" xr:uid="{8FEEDE10-F61C-43F9-9548-4ABC4CDBB54D}">
      <text>
        <r>
          <rPr>
            <b/>
            <sz val="9"/>
            <color indexed="81"/>
            <rFont val="Tahoma"/>
            <family val="2"/>
          </rPr>
          <t>Travis Paskey:</t>
        </r>
        <r>
          <rPr>
            <sz val="9"/>
            <color indexed="81"/>
            <rFont val="Tahoma"/>
            <family val="2"/>
          </rPr>
          <t xml:space="preserve">
Travis Paskey:
Please give the key a unique name. Do not include the app name or env name. Example: kvlt_svc</t>
        </r>
      </text>
    </comment>
    <comment ref="C98" authorId="0" shapeId="0" xr:uid="{287E5A18-04EA-4D6A-B517-0B859D3E089C}">
      <text>
        <r>
          <rPr>
            <b/>
            <sz val="9"/>
            <color indexed="81"/>
            <rFont val="Tahoma"/>
            <family val="2"/>
          </rPr>
          <t>Travis Paskey:</t>
        </r>
        <r>
          <rPr>
            <sz val="9"/>
            <color indexed="81"/>
            <rFont val="Tahoma"/>
            <family val="2"/>
          </rPr>
          <t xml:space="preserve">
Travis Paskey:
Please give the key a unique name. Do not include the app name or env name. Example: vm_db1, vm_man1</t>
        </r>
      </text>
    </comment>
    <comment ref="C100" authorId="0" shapeId="0" xr:uid="{A0E6E3BC-A6BC-4A6C-9545-1EBFAA89F376}">
      <text>
        <r>
          <rPr>
            <b/>
            <sz val="9"/>
            <color indexed="81"/>
            <rFont val="Tahoma"/>
            <family val="2"/>
          </rPr>
          <t>Travis Paskey:</t>
        </r>
        <r>
          <rPr>
            <sz val="9"/>
            <color indexed="81"/>
            <rFont val="Tahoma"/>
            <family val="2"/>
          </rPr>
          <t xml:space="preserve">
Default = azw-appapptierenvostype001</t>
        </r>
      </text>
    </comment>
    <comment ref="C108" authorId="0" shapeId="0" xr:uid="{BF4F7156-ABEB-485F-8914-900CF5AB9E07}">
      <text>
        <r>
          <rPr>
            <sz val="11"/>
            <color theme="1"/>
            <rFont val="Calibri"/>
            <family val="2"/>
            <scheme val="minor"/>
          </rPr>
          <t>Travis Paskey:
To be filled out during validation</t>
        </r>
      </text>
    </comment>
    <comment ref="C113" authorId="0" shapeId="0" xr:uid="{4572EFD4-E941-440A-9A15-359CCDE9E177}">
      <text>
        <r>
          <rPr>
            <b/>
            <sz val="9"/>
            <color indexed="81"/>
            <rFont val="Tahoma"/>
            <family val="2"/>
          </rPr>
          <t>Travis Paskey:</t>
        </r>
        <r>
          <rPr>
            <sz val="9"/>
            <color indexed="81"/>
            <rFont val="Tahoma"/>
            <family val="2"/>
          </rPr>
          <t xml:space="preserve">
Default = CISAdmin</t>
        </r>
      </text>
    </comment>
    <comment ref="C114" authorId="0" shapeId="0" xr:uid="{F15333A5-60B9-4E86-B289-8695DA59CBF8}">
      <text>
        <r>
          <rPr>
            <b/>
            <sz val="9"/>
            <color indexed="81"/>
            <rFont val="Tahoma"/>
            <family val="2"/>
          </rPr>
          <t>Travis Paskey:</t>
        </r>
        <r>
          <rPr>
            <sz val="9"/>
            <color indexed="81"/>
            <rFont val="Tahoma"/>
            <family val="2"/>
          </rPr>
          <t xml:space="preserve">
Default = null</t>
        </r>
      </text>
    </comment>
    <comment ref="A115" authorId="1" shapeId="0" xr:uid="{6631354F-69CC-41FF-BB51-19F1769183EB}">
      <text>
        <t>[Threaded comment]
Your version of Excel allows you to read this threaded comment; however, any edits to it will get removed if the file is opened in a newer version of Excel. Learn more: https://go.microsoft.com/fwlink/?linkid=870924
Comment:
    Ask EA</t>
      </text>
    </comment>
    <comment ref="C123" authorId="0" shapeId="0" xr:uid="{225E15C9-1904-4B40-88A0-24D40B96FDB9}">
      <text>
        <r>
          <rPr>
            <b/>
            <sz val="9"/>
            <color indexed="81"/>
            <rFont val="Tahoma"/>
            <family val="2"/>
          </rPr>
          <t>Travis Paskey:</t>
        </r>
        <r>
          <rPr>
            <sz val="9"/>
            <color indexed="81"/>
            <rFont val="Tahoma"/>
            <family val="2"/>
          </rPr>
          <t xml:space="preserve">
Default = DataDisk01-Vmname
</t>
        </r>
      </text>
    </comment>
    <comment ref="C261" authorId="0" shapeId="0" xr:uid="{54E6D421-26BE-47E5-94CA-5D23440D69F1}">
      <text>
        <r>
          <rPr>
            <b/>
            <sz val="9"/>
            <color indexed="81"/>
            <rFont val="Tahoma"/>
            <family val="2"/>
          </rPr>
          <t>Travis Paskey:</t>
        </r>
        <r>
          <rPr>
            <sz val="9"/>
            <color indexed="81"/>
            <rFont val="Tahoma"/>
            <family val="2"/>
          </rPr>
          <t xml:space="preserve">
Subnet of /24 or above and must have Microsoft.Web/hostingEnvironments endpoint!</t>
        </r>
      </text>
    </comment>
    <comment ref="H399" authorId="0" shapeId="0" xr:uid="{71FF9CA3-576C-4F33-BFEC-E15EF758C795}">
      <text>
        <r>
          <rPr>
            <sz val="11"/>
            <color theme="1"/>
            <rFont val="Calibri"/>
            <family val="2"/>
            <scheme val="minor"/>
          </rPr>
          <t>Travis Paskey:
-1 to disable</t>
        </r>
      </text>
    </comment>
    <comment ref="C416" authorId="0" shapeId="0" xr:uid="{C722D2C1-C42D-40B3-808F-3789C5379198}">
      <text>
        <r>
          <rPr>
            <b/>
            <sz val="9"/>
            <color indexed="81"/>
            <rFont val="Tahoma"/>
            <family val="2"/>
          </rPr>
          <t>Travis Paskey:</t>
        </r>
        <r>
          <rPr>
            <sz val="9"/>
            <color indexed="81"/>
            <rFont val="Tahoma"/>
            <family val="2"/>
          </rPr>
          <t xml:space="preserve">
Multiples of 32GB</t>
        </r>
      </text>
    </comment>
    <comment ref="C421" authorId="0" shapeId="0" xr:uid="{6FAFB1F3-99E0-41E1-A0E5-925F8D3D91B7}">
      <text>
        <r>
          <rPr>
            <b/>
            <sz val="9"/>
            <color indexed="81"/>
            <rFont val="Tahoma"/>
            <family val="2"/>
          </rPr>
          <t>Travis Paskey:</t>
        </r>
        <r>
          <rPr>
            <sz val="9"/>
            <color indexed="81"/>
            <rFont val="Tahoma"/>
            <family val="2"/>
          </rPr>
          <t xml:space="preserve">
Default = SQL_Latin1_General_CP1_CI_AS</t>
        </r>
      </text>
    </comment>
    <comment ref="C422" authorId="0" shapeId="0" xr:uid="{8386FAB4-44FB-4C00-A30A-394A58026562}">
      <text>
        <r>
          <rPr>
            <b/>
            <sz val="9"/>
            <color indexed="81"/>
            <rFont val="Tahoma"/>
            <family val="2"/>
          </rPr>
          <t>Travis Paskey:</t>
        </r>
        <r>
          <rPr>
            <sz val="9"/>
            <color indexed="81"/>
            <rFont val="Tahoma"/>
            <family val="2"/>
          </rPr>
          <t xml:space="preserve">
Default = False</t>
        </r>
      </text>
    </comment>
    <comment ref="C423" authorId="0" shapeId="0" xr:uid="{DF9C5BDC-EA96-4F27-B2EF-B0CDDBACA188}">
      <text>
        <r>
          <rPr>
            <b/>
            <sz val="9"/>
            <color indexed="81"/>
            <rFont val="Tahoma"/>
            <family val="2"/>
          </rPr>
          <t>Travis Paskey:</t>
        </r>
        <r>
          <rPr>
            <sz val="9"/>
            <color indexed="81"/>
            <rFont val="Tahoma"/>
            <family val="2"/>
          </rPr>
          <t xml:space="preserve">
Default = 1.2</t>
        </r>
      </text>
    </comment>
    <comment ref="C424" authorId="0" shapeId="0" xr:uid="{96E2084E-542B-43E3-8679-31D24B2EFF56}">
      <text>
        <r>
          <rPr>
            <b/>
            <sz val="9"/>
            <color indexed="81"/>
            <rFont val="Tahoma"/>
            <family val="2"/>
          </rPr>
          <t>Travis Paskey:</t>
        </r>
        <r>
          <rPr>
            <sz val="9"/>
            <color indexed="81"/>
            <rFont val="Tahoma"/>
            <family val="2"/>
          </rPr>
          <t xml:space="preserve">
Default = Default</t>
        </r>
      </text>
    </comment>
    <comment ref="C425" authorId="0" shapeId="0" xr:uid="{EB799CCD-E9AC-4A76-A465-77BC3BDC22C7}">
      <text>
        <r>
          <rPr>
            <b/>
            <sz val="9"/>
            <color indexed="81"/>
            <rFont val="Tahoma"/>
            <family val="2"/>
          </rPr>
          <t>Travis Paskey:
Default = UTC</t>
        </r>
      </text>
    </comment>
    <comment ref="C426" authorId="0" shapeId="0" xr:uid="{4BDC459E-7398-40C4-9BD8-AA2BA426F821}">
      <text>
        <r>
          <rPr>
            <b/>
            <sz val="9"/>
            <color indexed="81"/>
            <rFont val="Tahoma"/>
            <family val="2"/>
          </rPr>
          <t>Travis Paskey:</t>
        </r>
        <r>
          <rPr>
            <sz val="9"/>
            <color indexed="81"/>
            <rFont val="Tahoma"/>
            <family val="2"/>
          </rPr>
          <t xml:space="preserve">
Default = GRS</t>
        </r>
      </text>
    </comment>
    <comment ref="C427" authorId="0" shapeId="0" xr:uid="{BDB3733F-52AD-482F-A7A5-DE4EC35BB51A}">
      <text>
        <r>
          <rPr>
            <b/>
            <sz val="9"/>
            <color indexed="81"/>
            <rFont val="Tahoma"/>
            <family val="2"/>
          </rPr>
          <t>Travis Paskey:</t>
        </r>
        <r>
          <rPr>
            <sz val="9"/>
            <color indexed="81"/>
            <rFont val="Tahoma"/>
            <family val="2"/>
          </rPr>
          <t xml:space="preserve">
Default = False</t>
        </r>
      </text>
    </comment>
  </commentList>
</comments>
</file>

<file path=xl/sharedStrings.xml><?xml version="1.0" encoding="utf-8"?>
<sst xmlns="http://schemas.openxmlformats.org/spreadsheetml/2006/main" count="1928" uniqueCount="948">
  <si>
    <t>Data_Disk</t>
  </si>
  <si>
    <t>To add resources open this in desktop view and hit the buttons to the left</t>
  </si>
  <si>
    <t>For any resource that needs additional info move to another sheet</t>
  </si>
  <si>
    <t>Overview</t>
  </si>
  <si>
    <t>Terraform Variable</t>
  </si>
  <si>
    <t>Value</t>
  </si>
  <si>
    <t>Existing</t>
  </si>
  <si>
    <t>Validation</t>
  </si>
  <si>
    <t>Project Name</t>
  </si>
  <si>
    <t>Microsoft Active Directory</t>
  </si>
  <si>
    <t>Abbreviated App Name</t>
  </si>
  <si>
    <t>AD</t>
  </si>
  <si>
    <t>Application Description</t>
  </si>
  <si>
    <t>A directory is a hierarchical structure that stores information about objects on the network. A directory service, such as Active Directory Domain Services (AD DS), provides the methods for storing directory data and making this data available to network users and administrators. For example, AD DS stores information about user accounts, such as names, passwords, phone numbers, and so on, and enables other authorized users on the same network to access this information.</t>
  </si>
  <si>
    <t>CAG Architect</t>
  </si>
  <si>
    <t>Gary Waltman</t>
  </si>
  <si>
    <t>Server Owner</t>
  </si>
  <si>
    <t>Hisham Alhindawi</t>
  </si>
  <si>
    <t>Application Owner</t>
  </si>
  <si>
    <t>Business Owner</t>
  </si>
  <si>
    <t>TRB Approval Date</t>
  </si>
  <si>
    <t>TRB Approval Link</t>
  </si>
  <si>
    <t>No TRB required, deploying additional DR site</t>
  </si>
  <si>
    <t>Diagram</t>
  </si>
  <si>
    <t>Active Directory v2: Lucidchart</t>
  </si>
  <si>
    <t>Built in</t>
  </si>
  <si>
    <t>Server 2025</t>
  </si>
  <si>
    <t>DR Setup</t>
  </si>
  <si>
    <t>NA</t>
  </si>
  <si>
    <t>Recovery Type</t>
  </si>
  <si>
    <t>Will it house Personally Identifiable Information (PII)</t>
  </si>
  <si>
    <t>Is Remote desktop or SSH access required</t>
  </si>
  <si>
    <t>Yes</t>
  </si>
  <si>
    <t>Comments</t>
  </si>
  <si>
    <t>Application Name</t>
  </si>
  <si>
    <t>wab:app-name</t>
  </si>
  <si>
    <t>Service Now Ticket</t>
  </si>
  <si>
    <t>wab:snow-item</t>
  </si>
  <si>
    <t>RITM0158791</t>
  </si>
  <si>
    <t>Environment</t>
  </si>
  <si>
    <t>wab:environment</t>
  </si>
  <si>
    <t>DR</t>
  </si>
  <si>
    <t>App Tier</t>
  </si>
  <si>
    <t>wab:app-tier</t>
  </si>
  <si>
    <t>Platinum</t>
  </si>
  <si>
    <t>Shared Service Name</t>
  </si>
  <si>
    <t xml:space="preserve">wab:shared-service-name </t>
  </si>
  <si>
    <t>IT Cost Center ID</t>
  </si>
  <si>
    <t xml:space="preserve">wab:it-cost-center      </t>
  </si>
  <si>
    <t>IT Domain</t>
  </si>
  <si>
    <t xml:space="preserve">wab:it-domain           </t>
  </si>
  <si>
    <t>Identity and Access Management</t>
  </si>
  <si>
    <t>Notes</t>
  </si>
  <si>
    <t>wab:notes</t>
  </si>
  <si>
    <t>Segment</t>
  </si>
  <si>
    <t xml:space="preserve">wab:segment             </t>
  </si>
  <si>
    <t>Line of Business</t>
  </si>
  <si>
    <t xml:space="preserve">wab:lineofbusiness      </t>
  </si>
  <si>
    <t>Department</t>
  </si>
  <si>
    <t xml:space="preserve">wab:department          </t>
  </si>
  <si>
    <t>Cost Center ID</t>
  </si>
  <si>
    <t xml:space="preserve">wab:cost-center         </t>
  </si>
  <si>
    <t>Terraform</t>
  </si>
  <si>
    <t xml:space="preserve">wab:terraform        </t>
  </si>
  <si>
    <t>Resource Group</t>
  </si>
  <si>
    <t>Key</t>
  </si>
  <si>
    <t>key</t>
  </si>
  <si>
    <t>rsg1</t>
  </si>
  <si>
    <t xml:space="preserve">Name </t>
  </si>
  <si>
    <t>resource_group_name</t>
  </si>
  <si>
    <t>rg-active_directory-dr</t>
  </si>
  <si>
    <t>NO</t>
  </si>
  <si>
    <t>Subscription</t>
  </si>
  <si>
    <t>subscription</t>
  </si>
  <si>
    <t>sub-core_services_platform_networking_prod</t>
  </si>
  <si>
    <t>YES</t>
  </si>
  <si>
    <t>Location</t>
  </si>
  <si>
    <t>location</t>
  </si>
  <si>
    <t>East US</t>
  </si>
  <si>
    <t>Application Security Group</t>
  </si>
  <si>
    <t>asg_ad</t>
  </si>
  <si>
    <t>Name</t>
  </si>
  <si>
    <t>name</t>
  </si>
  <si>
    <t>asg-active_driectory-dr</t>
  </si>
  <si>
    <t>asg_kvlt</t>
  </si>
  <si>
    <t>asg-active_driectory-kvlt-dr</t>
  </si>
  <si>
    <t>Subnet</t>
  </si>
  <si>
    <t>snet1</t>
  </si>
  <si>
    <t>snet-active_directory-dr</t>
  </si>
  <si>
    <t>VNET Resource Group</t>
  </si>
  <si>
    <t>rg-core_services_platform_networking-dr</t>
  </si>
  <si>
    <t>VNet Name</t>
  </si>
  <si>
    <t xml:space="preserve">virtual_network_name </t>
  </si>
  <si>
    <t>vnet-core_services_platform_networking_dr</t>
  </si>
  <si>
    <t>NSG Name</t>
  </si>
  <si>
    <t>network_security_group_name</t>
  </si>
  <si>
    <t xml:space="preserve">
nsg-core_services_platform_networking_dr</t>
  </si>
  <si>
    <t>Route Table Name</t>
  </si>
  <si>
    <t>route_table_name</t>
  </si>
  <si>
    <t>rt-core_services_platform_networking-dr</t>
  </si>
  <si>
    <t>Address Prefixes</t>
  </si>
  <si>
    <t>prefixes</t>
  </si>
  <si>
    <t>10.187.7.32/27</t>
  </si>
  <si>
    <t>Service Endpoints</t>
  </si>
  <si>
    <t xml:space="preserve">service_endpoints    </t>
  </si>
  <si>
    <t>Microsoft.KeyVault</t>
  </si>
  <si>
    <t>User Assigned Identity</t>
  </si>
  <si>
    <t>Resource Group Key</t>
  </si>
  <si>
    <t>rsg_key</t>
  </si>
  <si>
    <t>user_assigned_identity_name</t>
  </si>
  <si>
    <t>umid-active_directory-dr</t>
  </si>
  <si>
    <t>AZ Role Assignment</t>
  </si>
  <si>
    <t>Private Endpoint</t>
  </si>
  <si>
    <t>pe1</t>
  </si>
  <si>
    <t>pvep-active-directory-kvlt-dr</t>
  </si>
  <si>
    <t>Subresource Names</t>
  </si>
  <si>
    <t>subresource_names</t>
  </si>
  <si>
    <t>vault</t>
  </si>
  <si>
    <t>Private Connection Resource</t>
  </si>
  <si>
    <t>private_connection_resource_id</t>
  </si>
  <si>
    <t>kvlt_id</t>
  </si>
  <si>
    <t>Subnet Key</t>
  </si>
  <si>
    <t>snet_key</t>
  </si>
  <si>
    <t>ASG Key</t>
  </si>
  <si>
    <t>asg_key</t>
  </si>
  <si>
    <t>Key Vault</t>
  </si>
  <si>
    <t>kvlt1</t>
  </si>
  <si>
    <t>key_vault_name</t>
  </si>
  <si>
    <t>kvlt-active-directory-dr</t>
  </si>
  <si>
    <t>SKU</t>
  </si>
  <si>
    <t>sku_name</t>
  </si>
  <si>
    <t>Standard</t>
  </si>
  <si>
    <t>Soft Delete Retention Days</t>
  </si>
  <si>
    <t>soft_delete_retention_days</t>
  </si>
  <si>
    <t>Public Network Access Enabled</t>
  </si>
  <si>
    <t>public_network_access</t>
  </si>
  <si>
    <t>Enabled for RBAC</t>
  </si>
  <si>
    <t xml:space="preserve">enable_rbac_authorization      </t>
  </si>
  <si>
    <t>Enabled for Deployment</t>
  </si>
  <si>
    <t xml:space="preserve">enabled_for_deployment         </t>
  </si>
  <si>
    <t>Enabled for Disk Encryption</t>
  </si>
  <si>
    <t xml:space="preserve">enabled_for_disk_encryption    </t>
  </si>
  <si>
    <t>Enabled for template deployment</t>
  </si>
  <si>
    <t>enabled_for_template_deployment</t>
  </si>
  <si>
    <t>Enable Purge Protection</t>
  </si>
  <si>
    <t xml:space="preserve">purge_protection_enabled       </t>
  </si>
  <si>
    <t>Key Vault Key</t>
  </si>
  <si>
    <t>key_vault_key_name</t>
  </si>
  <si>
    <t>key-active-directory-dr</t>
  </si>
  <si>
    <t>Key Type</t>
  </si>
  <si>
    <t>key_type</t>
  </si>
  <si>
    <t>RSA</t>
  </si>
  <si>
    <t>Key Size</t>
  </si>
  <si>
    <t>key_size</t>
  </si>
  <si>
    <t>Key Opts</t>
  </si>
  <si>
    <t>key_opts</t>
  </si>
  <si>
    <t>["encrypt", "decrypt", "sign", "verify", "wrapKey", "unwrapKey"]</t>
  </si>
  <si>
    <t>Disk Encryption Set</t>
  </si>
  <si>
    <t>disk_encryption_set_name</t>
  </si>
  <si>
    <t>dsk-active_directory-dr</t>
  </si>
  <si>
    <t>Idenity Type</t>
  </si>
  <si>
    <t>identity.type</t>
  </si>
  <si>
    <t>UserAssigned</t>
  </si>
  <si>
    <t>Virtual Machine</t>
  </si>
  <si>
    <t>vm_list.key</t>
  </si>
  <si>
    <t>vm1</t>
  </si>
  <si>
    <t>aze-adspw03</t>
  </si>
  <si>
    <t>OS</t>
  </si>
  <si>
    <t>windows</t>
  </si>
  <si>
    <t>OS URN</t>
  </si>
  <si>
    <t>Packer Image ID</t>
  </si>
  <si>
    <t>windows-server-2025-cis-L1</t>
  </si>
  <si>
    <t>Standard_D8as_v5</t>
  </si>
  <si>
    <t>OS disk size</t>
  </si>
  <si>
    <t>OS disk type</t>
  </si>
  <si>
    <t>Premium_LRS</t>
  </si>
  <si>
    <t>Private IP Address Allocation</t>
  </si>
  <si>
    <t>Static</t>
  </si>
  <si>
    <t>IP Address</t>
  </si>
  <si>
    <t>0.0.0.0</t>
  </si>
  <si>
    <t>Role</t>
  </si>
  <si>
    <t>App</t>
  </si>
  <si>
    <t>Patch Optin</t>
  </si>
  <si>
    <t>Admin Username</t>
  </si>
  <si>
    <t>admin_username</t>
  </si>
  <si>
    <t>cisadmin</t>
  </si>
  <si>
    <t>Availability Zone</t>
  </si>
  <si>
    <t>Zone1</t>
  </si>
  <si>
    <t>AS</t>
  </si>
  <si>
    <t>Backup</t>
  </si>
  <si>
    <t>DNS</t>
  </si>
  <si>
    <t>Data Disk(s)</t>
  </si>
  <si>
    <t>vm_key</t>
  </si>
  <si>
    <t>Data disk sizes</t>
  </si>
  <si>
    <t>[64]</t>
  </si>
  <si>
    <t>Data disk type</t>
  </si>
  <si>
    <t>Partition</t>
  </si>
  <si>
    <t>F:64</t>
  </si>
  <si>
    <t>vm2</t>
  </si>
  <si>
    <t>aze-adspw04</t>
  </si>
  <si>
    <t>Zone2</t>
  </si>
  <si>
    <t>Template version 25.3.20</t>
  </si>
  <si>
    <t>SNOW form</t>
  </si>
  <si>
    <t>User</t>
  </si>
  <si>
    <t>EA</t>
  </si>
  <si>
    <t>CMDB</t>
  </si>
  <si>
    <t>Cloud Engineering</t>
  </si>
  <si>
    <t>Azure Client Managed</t>
  </si>
  <si>
    <t>Azure CMS Managed</t>
  </si>
  <si>
    <t>OnPrem</t>
  </si>
  <si>
    <t>AWS Client Managed</t>
  </si>
  <si>
    <t>ASR</t>
  </si>
  <si>
    <t>GRS Backup/Restore</t>
  </si>
  <si>
    <t>Warm/Standby</t>
  </si>
  <si>
    <t>Cold Rebuild</t>
  </si>
  <si>
    <t>User/CMDB</t>
  </si>
  <si>
    <t>CMDB APP NAME</t>
  </si>
  <si>
    <t>SNOW team after request is complete?</t>
  </si>
  <si>
    <t>User/EA</t>
  </si>
  <si>
    <t>DEV</t>
  </si>
  <si>
    <t>UAT</t>
  </si>
  <si>
    <t>QA</t>
  </si>
  <si>
    <t>PROD</t>
  </si>
  <si>
    <t>Gold</t>
  </si>
  <si>
    <t>Silver</t>
  </si>
  <si>
    <t>Bronze</t>
  </si>
  <si>
    <t>Iron</t>
  </si>
  <si>
    <t>CMDB?</t>
  </si>
  <si>
    <t>MUST BE A NUMBER</t>
  </si>
  <si>
    <t>Commercial</t>
  </si>
  <si>
    <t>Consumer Related</t>
  </si>
  <si>
    <t>Corporate</t>
  </si>
  <si>
    <t>Corporate Support</t>
  </si>
  <si>
    <t>WEST US 3</t>
  </si>
  <si>
    <t>WEST US</t>
  </si>
  <si>
    <t>EAST US</t>
  </si>
  <si>
    <t>asg_nic</t>
  </si>
  <si>
    <t>Network Security Rule</t>
  </si>
  <si>
    <t>NSG Resource Group</t>
  </si>
  <si>
    <t>Rules</t>
  </si>
  <si>
    <t>rules</t>
  </si>
  <si>
    <t>Continue_here</t>
  </si>
  <si>
    <t>https://learn.microsoft.com/en-us/azure/private-link/private-endpoint-overview#private-link-resource</t>
  </si>
  <si>
    <t>standard</t>
  </si>
  <si>
    <t>premium</t>
  </si>
  <si>
    <t>7-90</t>
  </si>
  <si>
    <t>SystemAssigned</t>
  </si>
  <si>
    <t>SystemAssigned, UserAssigned</t>
  </si>
  <si>
    <t>Default</t>
  </si>
  <si>
    <t>Dynamic based off other values?</t>
  </si>
  <si>
    <t>linux</t>
  </si>
  <si>
    <t>User/EA/Cloud Engineering</t>
  </si>
  <si>
    <t>https://az-vm-image.info/?cmd=--all+--publisher+center-for-internet-security-inc</t>
  </si>
  <si>
    <t xml:space="preserve">Check last updated image name </t>
  </si>
  <si>
    <t xml:space="preserve">check the last updated image name </t>
  </si>
  <si>
    <t>Standard_B2s_v2</t>
  </si>
  <si>
    <t>Standard_B4as_v2</t>
  </si>
  <si>
    <t>Standard_B4ls_v2</t>
  </si>
  <si>
    <t>Standard_B16als_v2</t>
  </si>
  <si>
    <t>Standard_B16as_v2</t>
  </si>
  <si>
    <t>Standard_B8als_v2</t>
  </si>
  <si>
    <t>Standard_B4als_v2</t>
  </si>
  <si>
    <t>Standard_B8s_v2</t>
  </si>
  <si>
    <t>Standard_LRS</t>
  </si>
  <si>
    <t>StandardSSD_LRS</t>
  </si>
  <si>
    <t>StandardSSD_ZRS</t>
  </si>
  <si>
    <t>Premium_ZRS</t>
  </si>
  <si>
    <t>PremiumV2_LRS</t>
  </si>
  <si>
    <t>UltraSSD_LRS</t>
  </si>
  <si>
    <t>Dynamic</t>
  </si>
  <si>
    <t>Web</t>
  </si>
  <si>
    <t>Database</t>
  </si>
  <si>
    <t>Freeform</t>
  </si>
  <si>
    <t>null</t>
  </si>
  <si>
    <t>[]</t>
  </si>
  <si>
    <t>Storage Account</t>
  </si>
  <si>
    <t>Storage Account Name</t>
  </si>
  <si>
    <t>account_kind</t>
  </si>
  <si>
    <t>BlobStorage</t>
  </si>
  <si>
    <t>BlockBlobStorage</t>
  </si>
  <si>
    <t>FileStorage</t>
  </si>
  <si>
    <t>Storage</t>
  </si>
  <si>
    <t>StorageV2</t>
  </si>
  <si>
    <t>Performance</t>
  </si>
  <si>
    <t>account_tier</t>
  </si>
  <si>
    <t>Premium</t>
  </si>
  <si>
    <t>Redundancy</t>
  </si>
  <si>
    <t>account_replication_type</t>
  </si>
  <si>
    <t>LRS</t>
  </si>
  <si>
    <t>GRS</t>
  </si>
  <si>
    <t>RAGRS</t>
  </si>
  <si>
    <t>ZRS</t>
  </si>
  <si>
    <t>GZRS</t>
  </si>
  <si>
    <t>RAGZRS</t>
  </si>
  <si>
    <t>Data Retention Requirement</t>
  </si>
  <si>
    <t>Storage Share</t>
  </si>
  <si>
    <t>storage account</t>
  </si>
  <si>
    <t>Quota</t>
  </si>
  <si>
    <t>quota</t>
  </si>
  <si>
    <t>1-5120</t>
  </si>
  <si>
    <t>Protocol</t>
  </si>
  <si>
    <t>enabled_protocol</t>
  </si>
  <si>
    <t>SMB</t>
  </si>
  <si>
    <t>NFS</t>
  </si>
  <si>
    <t>Access Tier</t>
  </si>
  <si>
    <t>access_tier</t>
  </si>
  <si>
    <t>Hot</t>
  </si>
  <si>
    <t>Cool</t>
  </si>
  <si>
    <t>TransactionOptimized</t>
  </si>
  <si>
    <t>Kubernetes Cluster</t>
  </si>
  <si>
    <t>Kubernetes Cluster Name</t>
  </si>
  <si>
    <t>Region</t>
  </si>
  <si>
    <t>US West 2</t>
  </si>
  <si>
    <t>US West 3</t>
  </si>
  <si>
    <t>US East</t>
  </si>
  <si>
    <t>AKS Pricing Tier</t>
  </si>
  <si>
    <t>sku_tier</t>
  </si>
  <si>
    <t>Free</t>
  </si>
  <si>
    <t>Kubernetes Version</t>
  </si>
  <si>
    <t>kubernetes_version</t>
  </si>
  <si>
    <t>Maintenance Window</t>
  </si>
  <si>
    <t>maintenance_window.allowed.day</t>
  </si>
  <si>
    <t>Sunday</t>
  </si>
  <si>
    <t>Monday</t>
  </si>
  <si>
    <t>Tuesday</t>
  </si>
  <si>
    <t>Wednesday</t>
  </si>
  <si>
    <t>Thursday</t>
  </si>
  <si>
    <t>Friday</t>
  </si>
  <si>
    <t>Saturday</t>
  </si>
  <si>
    <t>maintenance_window.allowed.hours</t>
  </si>
  <si>
    <t>0-23</t>
  </si>
  <si>
    <t>Automatic Upgrade</t>
  </si>
  <si>
    <t>automatic_channel_upgrade</t>
  </si>
  <si>
    <t>patch</t>
  </si>
  <si>
    <t>rapid</t>
  </si>
  <si>
    <t>node-image</t>
  </si>
  <si>
    <t>stable</t>
  </si>
  <si>
    <t>*null*</t>
  </si>
  <si>
    <t>Automatic Upgrade Scheduler</t>
  </si>
  <si>
    <t>maintenance_window_auto_upgrade.frequency</t>
  </si>
  <si>
    <t>AbsoluteMonthly</t>
  </si>
  <si>
    <t>Weekly</t>
  </si>
  <si>
    <t>RelativeMonthly</t>
  </si>
  <si>
    <t>maintenance_window_auto_upgrade.interval</t>
  </si>
  <si>
    <t>Once a Month and weekofindex Third</t>
  </si>
  <si>
    <t>maintenance_window_auto_upgrade.duration</t>
  </si>
  <si>
    <t>12 hours</t>
  </si>
  <si>
    <t>4-24</t>
  </si>
  <si>
    <t>maintenance_window_auto_upgrade.day_of_week</t>
  </si>
  <si>
    <t>Node Security Channel Type</t>
  </si>
  <si>
    <t>node_os_channel_upgrade</t>
  </si>
  <si>
    <t xml:space="preserve">NodeImage </t>
  </si>
  <si>
    <t xml:space="preserve">None </t>
  </si>
  <si>
    <t>Unmanged</t>
  </si>
  <si>
    <t>SecurityPatch</t>
  </si>
  <si>
    <t>Security Channel Scheduler</t>
  </si>
  <si>
    <t>maintenance_window_node_os.frequency</t>
  </si>
  <si>
    <t>Monthly - Repeats every month on second Friday.</t>
  </si>
  <si>
    <t>Daily</t>
  </si>
  <si>
    <t>maintenance_window_node_os.interval</t>
  </si>
  <si>
    <t>maintenance_window_node_os.duration</t>
  </si>
  <si>
    <t>maintenance_window_node_os.day_of_week</t>
  </si>
  <si>
    <t>Authentication and Authorization</t>
  </si>
  <si>
    <t xml:space="preserve">azure_rbac_enabled </t>
  </si>
  <si>
    <t>Azure AD Authentication with Azure RBAC</t>
  </si>
  <si>
    <t>Local accounts with Kubernetes RBAC</t>
  </si>
  <si>
    <t>Microsoft Entra ID authentication with Kubernetes RBAC</t>
  </si>
  <si>
    <t>Microsoft Entra ID authentication with Azure RBAC</t>
  </si>
  <si>
    <t>Enable Virtual Nodes</t>
  </si>
  <si>
    <t>Node Pool OS Disk Encryption Type</t>
  </si>
  <si>
    <t>Customer managed key</t>
  </si>
  <si>
    <t>Customer Managed Key</t>
  </si>
  <si>
    <t>Platform Managed Key</t>
  </si>
  <si>
    <t>disk_encryption_set_id</t>
  </si>
  <si>
    <t>Networking</t>
  </si>
  <si>
    <t>Private Access - Enable private cluster</t>
  </si>
  <si>
    <t>private_cluster_enabled</t>
  </si>
  <si>
    <t>Public Access - Set authorized IP ranges</t>
  </si>
  <si>
    <t>authorized_ip_ranges</t>
  </si>
  <si>
    <t>Container Networking</t>
  </si>
  <si>
    <t>Kubenet</t>
  </si>
  <si>
    <t>Azure CNI</t>
  </si>
  <si>
    <t>Bring Your Own Network</t>
  </si>
  <si>
    <t xml:space="preserve">Yes </t>
  </si>
  <si>
    <t>No</t>
  </si>
  <si>
    <t>Virtual Network</t>
  </si>
  <si>
    <t>Kubernetes Service Addresses</t>
  </si>
  <si>
    <t>service_cidr</t>
  </si>
  <si>
    <t>Kubernetes Service IP address</t>
  </si>
  <si>
    <t>dns_service_ip</t>
  </si>
  <si>
    <t>DNS Name Prefix</t>
  </si>
  <si>
    <t>dns_prefix</t>
  </si>
  <si>
    <t>Network Policy</t>
  </si>
  <si>
    <t>network_policy</t>
  </si>
  <si>
    <t>calico</t>
  </si>
  <si>
    <t>azure</t>
  </si>
  <si>
    <t>cilium</t>
  </si>
  <si>
    <t>Load Balancer</t>
  </si>
  <si>
    <t>load_balancer_sku</t>
  </si>
  <si>
    <t>basic</t>
  </si>
  <si>
    <t>Integrations</t>
  </si>
  <si>
    <t>Microsoft Defender for Cloud</t>
  </si>
  <si>
    <t>microsoft_defender_enabled</t>
  </si>
  <si>
    <t>Azure Container Registry</t>
  </si>
  <si>
    <t>attached_acr_id_map</t>
  </si>
  <si>
    <t>None</t>
  </si>
  <si>
    <t>Service Mesh – Enable Istio</t>
  </si>
  <si>
    <t>open_service_mesh_enabled</t>
  </si>
  <si>
    <t>Azure Policy</t>
  </si>
  <si>
    <t>azure_policy_enabled</t>
  </si>
  <si>
    <t>Azure Monitoring</t>
  </si>
  <si>
    <t>Container Insights – Enable Logs</t>
  </si>
  <si>
    <t>Container Insights – Log Analytics workspace</t>
  </si>
  <si>
    <t>log_analytics_workspace_id</t>
  </si>
  <si>
    <t>Container Insights – Cost Preset</t>
  </si>
  <si>
    <t>?</t>
  </si>
  <si>
    <t>Cost-optimized</t>
  </si>
  <si>
    <t>Syslog</t>
  </si>
  <si>
    <t>Advanced</t>
  </si>
  <si>
    <t>Enable Secrets Store CSI Drive</t>
  </si>
  <si>
    <t>Infrastructure Resource Group</t>
  </si>
  <si>
    <t>node_resource_group</t>
  </si>
  <si>
    <t>Kubernetes Default Node Pool</t>
  </si>
  <si>
    <t>Node Pool Name</t>
  </si>
  <si>
    <t>Mode</t>
  </si>
  <si>
    <t>mode</t>
  </si>
  <si>
    <t>System</t>
  </si>
  <si>
    <t>zones</t>
  </si>
  <si>
    <t>1-3</t>
  </si>
  <si>
    <t>OS SKU</t>
  </si>
  <si>
    <t>os_sku</t>
  </si>
  <si>
    <t>AzureLinux</t>
  </si>
  <si>
    <t>Ubuntu</t>
  </si>
  <si>
    <t>Windows2019</t>
  </si>
  <si>
    <t>Windows2022</t>
  </si>
  <si>
    <t>OS Disk Type</t>
  </si>
  <si>
    <t>os_disk_type</t>
  </si>
  <si>
    <t>Ephemeral</t>
  </si>
  <si>
    <t>Managed</t>
  </si>
  <si>
    <t>OS Disk Size</t>
  </si>
  <si>
    <t>os_disk_size_gb</t>
  </si>
  <si>
    <t>Choose Node Size</t>
  </si>
  <si>
    <t>vm_size</t>
  </si>
  <si>
    <t>Orchestrator Version</t>
  </si>
  <si>
    <t>orchestrator_version</t>
  </si>
  <si>
    <t>Node Count</t>
  </si>
  <si>
    <t>node_count</t>
  </si>
  <si>
    <t>Minimum Node Count</t>
  </si>
  <si>
    <t>min_count</t>
  </si>
  <si>
    <t>Max Node Count</t>
  </si>
  <si>
    <t>max_count</t>
  </si>
  <si>
    <t>1-1000</t>
  </si>
  <si>
    <t>Max Pods P/Node</t>
  </si>
  <si>
    <t>max_pods</t>
  </si>
  <si>
    <t>10-250</t>
  </si>
  <si>
    <t>Labels</t>
  </si>
  <si>
    <t>node_labels</t>
  </si>
  <si>
    <t>key/value</t>
  </si>
  <si>
    <t>Taints</t>
  </si>
  <si>
    <t>node_taints</t>
  </si>
  <si>
    <t>Enable Azure Spot Instance</t>
  </si>
  <si>
    <t>Scale Method</t>
  </si>
  <si>
    <t>Enable Public IP per Node</t>
  </si>
  <si>
    <t>Kubernetes Cluster Node Pools</t>
  </si>
  <si>
    <t>sku</t>
  </si>
  <si>
    <t>Basic</t>
  </si>
  <si>
    <t>Admin Enabled</t>
  </si>
  <si>
    <t>admin_enabled</t>
  </si>
  <si>
    <t>Data Endpoint Enabled</t>
  </si>
  <si>
    <t>data_endpoint_enabled</t>
  </si>
  <si>
    <t>Zone Redundancy Enabled</t>
  </si>
  <si>
    <t>zone_redundancy_enabled</t>
  </si>
  <si>
    <t>Public Network Access</t>
  </si>
  <si>
    <t>public_network_access_enabled</t>
  </si>
  <si>
    <t>user managed id</t>
  </si>
  <si>
    <t>Network Rule Sets</t>
  </si>
  <si>
    <t>network_rule_set</t>
  </si>
  <si>
    <t>Continue here</t>
  </si>
  <si>
    <t>Application Gateway</t>
  </si>
  <si>
    <t>snet_apgw</t>
  </si>
  <si>
    <t>SKU name</t>
  </si>
  <si>
    <t>Standard_Small</t>
  </si>
  <si>
    <t>Standard_Medium</t>
  </si>
  <si>
    <t>Standard_Large</t>
  </si>
  <si>
    <t>Standard_v2</t>
  </si>
  <si>
    <t>WAF_Medium</t>
  </si>
  <si>
    <t>WAF_Large</t>
  </si>
  <si>
    <t>WAF_v2</t>
  </si>
  <si>
    <t>SKU tier</t>
  </si>
  <si>
    <t>SKU Capacity</t>
  </si>
  <si>
    <t>sku_capacity</t>
  </si>
  <si>
    <t>V1 = 1-32</t>
  </si>
  <si>
    <t>V2 = 1-125</t>
  </si>
  <si>
    <t>Min Capacity</t>
  </si>
  <si>
    <t>min_capacity</t>
  </si>
  <si>
    <t>0-100</t>
  </si>
  <si>
    <t>Max Capacity</t>
  </si>
  <si>
    <t>maz_capacity</t>
  </si>
  <si>
    <t>2-125</t>
  </si>
  <si>
    <t>Availability Zones</t>
  </si>
  <si>
    <t>Additional Configuration</t>
  </si>
  <si>
    <t>Front-end IP Type</t>
  </si>
  <si>
    <t>Public</t>
  </si>
  <si>
    <t>Private</t>
  </si>
  <si>
    <t>Both</t>
  </si>
  <si>
    <t>Hostname / FQDN - Internal</t>
  </si>
  <si>
    <t>Hostname DNS Record Type</t>
  </si>
  <si>
    <t>PFX/CER SSL Certificates</t>
  </si>
  <si>
    <t>App Service Environment</t>
  </si>
  <si>
    <t>Virtual IP</t>
  </si>
  <si>
    <t>internal_load_balancing_mode</t>
  </si>
  <si>
    <t>"Web, Publishing"</t>
  </si>
  <si>
    <t>allow_new_private_endpoint_connections</t>
  </si>
  <si>
    <t xml:space="preserve">remote_debugging_enabled </t>
  </si>
  <si>
    <t>Physical hardware isolation</t>
  </si>
  <si>
    <t>dedicated_host_count</t>
  </si>
  <si>
    <t>Zone redundancy</t>
  </si>
  <si>
    <t>zone_redundant</t>
  </si>
  <si>
    <t>App Service Plan</t>
  </si>
  <si>
    <t>Operating System</t>
  </si>
  <si>
    <t>os_type</t>
  </si>
  <si>
    <t>Linux</t>
  </si>
  <si>
    <t>Windows</t>
  </si>
  <si>
    <t>WindowsContainer</t>
  </si>
  <si>
    <t>Pricing plan</t>
  </si>
  <si>
    <t>B1</t>
  </si>
  <si>
    <t>B2</t>
  </si>
  <si>
    <t>B3</t>
  </si>
  <si>
    <t>D1</t>
  </si>
  <si>
    <t>F1</t>
  </si>
  <si>
    <t>I1</t>
  </si>
  <si>
    <t>I2</t>
  </si>
  <si>
    <t>I3</t>
  </si>
  <si>
    <t>I1v2</t>
  </si>
  <si>
    <t>I2v2</t>
  </si>
  <si>
    <t>I3v2</t>
  </si>
  <si>
    <t>I4v2</t>
  </si>
  <si>
    <t>I5v2</t>
  </si>
  <si>
    <t>I6v2</t>
  </si>
  <si>
    <t>P1v2</t>
  </si>
  <si>
    <t>P2v2</t>
  </si>
  <si>
    <t>P3v2</t>
  </si>
  <si>
    <t>P0v3</t>
  </si>
  <si>
    <t>P1v3</t>
  </si>
  <si>
    <t>P2v3</t>
  </si>
  <si>
    <t>P3v3</t>
  </si>
  <si>
    <t>P1mv3</t>
  </si>
  <si>
    <t>P2mv3</t>
  </si>
  <si>
    <t>P3mv3</t>
  </si>
  <si>
    <t>P4mv3</t>
  </si>
  <si>
    <t>P5mv3</t>
  </si>
  <si>
    <t>S1</t>
  </si>
  <si>
    <t>S2</t>
  </si>
  <si>
    <t>S3</t>
  </si>
  <si>
    <t>SHARED</t>
  </si>
  <si>
    <t>EP1</t>
  </si>
  <si>
    <t>EP2</t>
  </si>
  <si>
    <t>EP3</t>
  </si>
  <si>
    <t>FC1</t>
  </si>
  <si>
    <t>WS1</t>
  </si>
  <si>
    <t>WS2</t>
  </si>
  <si>
    <t>WS3</t>
  </si>
  <si>
    <t>Y1</t>
  </si>
  <si>
    <t>maximum_elastic_worker_count</t>
  </si>
  <si>
    <t>worker_count</t>
  </si>
  <si>
    <t>per_site_scaling_enabled</t>
  </si>
  <si>
    <t>zone_balancing_enabled</t>
  </si>
  <si>
    <t>Windows Web App</t>
  </si>
  <si>
    <t>Publish</t>
  </si>
  <si>
    <t>Code</t>
  </si>
  <si>
    <t>Container</t>
  </si>
  <si>
    <t>current_stack</t>
  </si>
  <si>
    <t>dotnet</t>
  </si>
  <si>
    <t>dotnetcore</t>
  </si>
  <si>
    <t>node</t>
  </si>
  <si>
    <t>python</t>
  </si>
  <si>
    <t>php</t>
  </si>
  <si>
    <t>java</t>
  </si>
  <si>
    <t>Runtime stack</t>
  </si>
  <si>
    <t>stack_version</t>
  </si>
  <si>
    <t>Plan</t>
  </si>
  <si>
    <t>service_plan_id</t>
  </si>
  <si>
    <t>site_config</t>
  </si>
  <si>
    <t>Azure Cache for Redis</t>
  </si>
  <si>
    <t>Cache SKU</t>
  </si>
  <si>
    <t>Cache size</t>
  </si>
  <si>
    <t>capacity</t>
  </si>
  <si>
    <t>Basic/Standard: 0(250MB),1(1GB),2(2.5GB),3(6GB),4(13GB),5(26GB),6(53GB)</t>
  </si>
  <si>
    <t>Premium: 1(6GB),2(13GB),3(26GB),4(53GB),5(120GB)</t>
  </si>
  <si>
    <t>family</t>
  </si>
  <si>
    <t>C</t>
  </si>
  <si>
    <t>P</t>
  </si>
  <si>
    <t>subnet_key</t>
  </si>
  <si>
    <t>Connectivity method</t>
  </si>
  <si>
    <t>private_static_ip_address</t>
  </si>
  <si>
    <t>minimum_tls_version</t>
  </si>
  <si>
    <t>Redis version</t>
  </si>
  <si>
    <t>redis_version</t>
  </si>
  <si>
    <t>Non-TLS port</t>
  </si>
  <si>
    <t>1.0</t>
  </si>
  <si>
    <t>identity_type</t>
  </si>
  <si>
    <t>umid</t>
  </si>
  <si>
    <t>Availability zones</t>
  </si>
  <si>
    <t>Microsoft Entra Authentication</t>
  </si>
  <si>
    <t>active_directory_authentication_enabled</t>
  </si>
  <si>
    <t>Access Keys Authentication</t>
  </si>
  <si>
    <t>access_keys_authentication_enable</t>
  </si>
  <si>
    <t>Application Insights</t>
  </si>
  <si>
    <t>Log Analytics Workspace</t>
  </si>
  <si>
    <t>workspace_id</t>
  </si>
  <si>
    <t>application_type</t>
  </si>
  <si>
    <t>ios</t>
  </si>
  <si>
    <t>MobileCenter</t>
  </si>
  <si>
    <t>Node.JS</t>
  </si>
  <si>
    <t>other</t>
  </si>
  <si>
    <t>phone</t>
  </si>
  <si>
    <t>store</t>
  </si>
  <si>
    <t>web</t>
  </si>
  <si>
    <t>daily_data_cap_in_gb</t>
  </si>
  <si>
    <t>daily_data_cap_notifications_disabled</t>
  </si>
  <si>
    <t>disable_ip_masking</t>
  </si>
  <si>
    <t>force_customer_storage_for_profiler</t>
  </si>
  <si>
    <t>internet_ingestion_enabled</t>
  </si>
  <si>
    <t>internet_query_enabled</t>
  </si>
  <si>
    <t>local_authentication_disabled</t>
  </si>
  <si>
    <t>retention_in_days</t>
  </si>
  <si>
    <t>sampling_percentage</t>
  </si>
  <si>
    <t>Data Collection Rule</t>
  </si>
  <si>
    <t>Platform Type</t>
  </si>
  <si>
    <t>kind</t>
  </si>
  <si>
    <t>AgentDirectToStore</t>
  </si>
  <si>
    <t>WorkspaceTransforms</t>
  </si>
  <si>
    <t>Data Collection Endpoint</t>
  </si>
  <si>
    <t>data_collection_endpoint_id</t>
  </si>
  <si>
    <t>Destinations</t>
  </si>
  <si>
    <t>destinations</t>
  </si>
  <si>
    <t>Resources</t>
  </si>
  <si>
    <t>PerNode</t>
  </si>
  <si>
    <t>Standalone</t>
  </si>
  <si>
    <t>Unlimited</t>
  </si>
  <si>
    <t>CapacityReservation</t>
  </si>
  <si>
    <t>PerGB2018</t>
  </si>
  <si>
    <t>cmk_for_query_forced</t>
  </si>
  <si>
    <t>daily_quota_gb</t>
  </si>
  <si>
    <t>-1 = unlimited</t>
  </si>
  <si>
    <t>immediate_data_purge_on_30_days_enabled</t>
  </si>
  <si>
    <t>30-730</t>
  </si>
  <si>
    <t>data_collection_rule_id</t>
  </si>
  <si>
    <t>Azure Monitor workspace</t>
  </si>
  <si>
    <t>Public Access</t>
  </si>
  <si>
    <t>Azure Managed Grafana</t>
  </si>
  <si>
    <t>Pricing Plan</t>
  </si>
  <si>
    <t>Essential</t>
  </si>
  <si>
    <t>Grafana Version</t>
  </si>
  <si>
    <t>grafana_major_version</t>
  </si>
  <si>
    <t>Grafana Enterprise</t>
  </si>
  <si>
    <t>Enable API key creation</t>
  </si>
  <si>
    <t>api_key_enabled</t>
  </si>
  <si>
    <t>Deterministic outbound IP</t>
  </si>
  <si>
    <t>deterministic_outbound_ip_enabled</t>
  </si>
  <si>
    <t>azure_monitor_workspace_integrations</t>
  </si>
  <si>
    <t>Public IP Address</t>
  </si>
  <si>
    <t>IP address assignment</t>
  </si>
  <si>
    <t>allocation_method</t>
  </si>
  <si>
    <t>Tier</t>
  </si>
  <si>
    <t>Regional</t>
  </si>
  <si>
    <t>Global</t>
  </si>
  <si>
    <t>IP Version</t>
  </si>
  <si>
    <t>ip_version</t>
  </si>
  <si>
    <t>IPv4</t>
  </si>
  <si>
    <t>IPv6</t>
  </si>
  <si>
    <t>Idle timeout (minutes)</t>
  </si>
  <si>
    <t>idle_timeout_in_minutes</t>
  </si>
  <si>
    <t>4-30</t>
  </si>
  <si>
    <t>Availability zone</t>
  </si>
  <si>
    <t>DNS name label</t>
  </si>
  <si>
    <t>LB Type</t>
  </si>
  <si>
    <t>Internal</t>
  </si>
  <si>
    <t>Virtual Network (VNET)</t>
  </si>
  <si>
    <t>Subnet (SNET)</t>
  </si>
  <si>
    <t>Front end IP Name</t>
  </si>
  <si>
    <t>Backend Nodes</t>
  </si>
  <si>
    <t>Gateway</t>
  </si>
  <si>
    <t>DNS Record (A-Record)**</t>
  </si>
  <si>
    <t>Use</t>
  </si>
  <si>
    <t>MS SQL Server</t>
  </si>
  <si>
    <t>Version</t>
  </si>
  <si>
    <t xml:space="preserve">version                             </t>
  </si>
  <si>
    <t>Connection Policy</t>
  </si>
  <si>
    <t xml:space="preserve">connection_policy                   </t>
  </si>
  <si>
    <t>Minimum TLS Version</t>
  </si>
  <si>
    <t xml:space="preserve">minimum_tls_version                 </t>
  </si>
  <si>
    <t>Administrator Login</t>
  </si>
  <si>
    <t xml:space="preserve">administrator_login                 </t>
  </si>
  <si>
    <t>sqlsvradmin</t>
  </si>
  <si>
    <t>Outbound Network Restriction Enabled</t>
  </si>
  <si>
    <t>outbound_network_restriction_enabled</t>
  </si>
  <si>
    <t xml:space="preserve">public_network_access_enabled       </t>
  </si>
  <si>
    <t>Azuread AUTHENTICATION Only</t>
  </si>
  <si>
    <t xml:space="preserve">azuread_authentication_only         </t>
  </si>
  <si>
    <t>Login Username</t>
  </si>
  <si>
    <t xml:space="preserve">login_username                      </t>
  </si>
  <si>
    <t>Identity Type</t>
  </si>
  <si>
    <t xml:space="preserve">identity_type                       </t>
  </si>
  <si>
    <t>MS SQL Database</t>
  </si>
  <si>
    <t xml:space="preserve">sku_name                           </t>
  </si>
  <si>
    <t>GP_S_Gen5_2</t>
  </si>
  <si>
    <t>HS_Gen4_1</t>
  </si>
  <si>
    <t>BC_Gen5_2</t>
  </si>
  <si>
    <t>ElasticPool</t>
  </si>
  <si>
    <t>S0</t>
  </si>
  <si>
    <t>P2</t>
  </si>
  <si>
    <t>DW100c</t>
  </si>
  <si>
    <t>DS100</t>
  </si>
  <si>
    <t>Collation</t>
  </si>
  <si>
    <t xml:space="preserve">collation                          </t>
  </si>
  <si>
    <t>SQL_Latin1_General_CP1_CI_AS</t>
  </si>
  <si>
    <t>Create Mode</t>
  </si>
  <si>
    <t xml:space="preserve">create_mode                        </t>
  </si>
  <si>
    <t>Copy</t>
  </si>
  <si>
    <t>OnlineSecondary</t>
  </si>
  <si>
    <t>PointInTimeRestore</t>
  </si>
  <si>
    <t>Recovery</t>
  </si>
  <si>
    <t>Restore</t>
  </si>
  <si>
    <t>RestoreExternalBackup</t>
  </si>
  <si>
    <t>RestoreExternalBackupSecondary</t>
  </si>
  <si>
    <t>RestoreLongTermRetentionBackup and Secondary</t>
  </si>
  <si>
    <t>License Type</t>
  </si>
  <si>
    <t xml:space="preserve">license_type                       </t>
  </si>
  <si>
    <t>LicenseIncluded</t>
  </si>
  <si>
    <t>BasePrice</t>
  </si>
  <si>
    <t>Storage Account Type</t>
  </si>
  <si>
    <t xml:space="preserve">storage_account_type               </t>
  </si>
  <si>
    <t>Geo</t>
  </si>
  <si>
    <t>GeoZone</t>
  </si>
  <si>
    <t>Local</t>
  </si>
  <si>
    <t>Zone</t>
  </si>
  <si>
    <t>Maintenance Configuration Type</t>
  </si>
  <si>
    <t xml:space="preserve">maintenance_configuration_name     </t>
  </si>
  <si>
    <t>SQL_Default</t>
  </si>
  <si>
    <t>Other options shown here</t>
  </si>
  <si>
    <t>Max Size (GB)</t>
  </si>
  <si>
    <t xml:space="preserve">max_size_gb                        </t>
  </si>
  <si>
    <t xml:space="preserve">min_capacity                       </t>
  </si>
  <si>
    <t>Read Replica Count</t>
  </si>
  <si>
    <t xml:space="preserve">read_replica_count                 </t>
  </si>
  <si>
    <t>Auto Pause Delay (Minutes)</t>
  </si>
  <si>
    <t xml:space="preserve">auto_pause_delay_in_minutes        </t>
  </si>
  <si>
    <t>Ledger Enabled</t>
  </si>
  <si>
    <t xml:space="preserve">ledger_enabled                     </t>
  </si>
  <si>
    <t>Read Scale</t>
  </si>
  <si>
    <t xml:space="preserve">read_scale                         </t>
  </si>
  <si>
    <t>Zone Redundant</t>
  </si>
  <si>
    <t xml:space="preserve">zone_redundant                     </t>
  </si>
  <si>
    <t>Geo Backup Enabled</t>
  </si>
  <si>
    <t xml:space="preserve">geo_backup_enabled                 </t>
  </si>
  <si>
    <t>Transparent Data Encryption Enabled</t>
  </si>
  <si>
    <t>transparent_data_encryption_enabled</t>
  </si>
  <si>
    <t>Monthly Retention</t>
  </si>
  <si>
    <t xml:space="preserve">monthly_retention                  </t>
  </si>
  <si>
    <t>PT0S</t>
  </si>
  <si>
    <t>P1Y</t>
  </si>
  <si>
    <t>P12M</t>
  </si>
  <si>
    <t>P52W</t>
  </si>
  <si>
    <t>P365D</t>
  </si>
  <si>
    <t>Weekly Retention</t>
  </si>
  <si>
    <t xml:space="preserve">weekly_retention                   </t>
  </si>
  <si>
    <t>Yearly Retention</t>
  </si>
  <si>
    <t xml:space="preserve">yearly_retention                   </t>
  </si>
  <si>
    <t>Week Of Year</t>
  </si>
  <si>
    <t xml:space="preserve">week_of_year                       </t>
  </si>
  <si>
    <t>1-52</t>
  </si>
  <si>
    <t>Backup Interval In Hours</t>
  </si>
  <si>
    <t xml:space="preserve">backup_interval_in_hours           </t>
  </si>
  <si>
    <t>Retention Days</t>
  </si>
  <si>
    <t>retention_days</t>
  </si>
  <si>
    <t>1-35</t>
  </si>
  <si>
    <t>MS SQL Managed Instance</t>
  </si>
  <si>
    <t>GP_Gen4</t>
  </si>
  <si>
    <t>GP_Gen5</t>
  </si>
  <si>
    <t>BC_Gen4</t>
  </si>
  <si>
    <t>BC_Gen5</t>
  </si>
  <si>
    <t>Virtual Cores</t>
  </si>
  <si>
    <t>vcores</t>
  </si>
  <si>
    <t>Storage Size (GB)</t>
  </si>
  <si>
    <t>storage_size_in_gb</t>
  </si>
  <si>
    <t>license_type</t>
  </si>
  <si>
    <t>sql_server_administrator_login</t>
  </si>
  <si>
    <t>Public Data Endpoint Enabled</t>
  </si>
  <si>
    <t>Proxy Override</t>
  </si>
  <si>
    <t>TimeZone ID</t>
  </si>
  <si>
    <t>storage_account_type</t>
  </si>
  <si>
    <t>Zone Redundant Enabled</t>
  </si>
  <si>
    <t>RDP/SSH Access</t>
  </si>
  <si>
    <t>AD Security Group</t>
  </si>
  <si>
    <t>Jumpbox source</t>
  </si>
  <si>
    <t>Destination</t>
  </si>
  <si>
    <t>Post Deployment</t>
  </si>
  <si>
    <t>Domain join</t>
  </si>
  <si>
    <t>ad_domain</t>
  </si>
  <si>
    <t>westernalliancebancorp.com</t>
  </si>
  <si>
    <t>nonprod.westernalliancebancorp.com</t>
  </si>
  <si>
    <t>MECM Agent</t>
  </si>
  <si>
    <t>CrowdStrike Agent</t>
  </si>
  <si>
    <t>Forcepoint Endpoint</t>
  </si>
  <si>
    <t>Nexpose Access Rights</t>
  </si>
  <si>
    <t>Security Scan completed</t>
  </si>
  <si>
    <t>CIS Hardening</t>
  </si>
  <si>
    <t>Vunerability Scan</t>
  </si>
  <si>
    <t>CIS Scan</t>
  </si>
  <si>
    <t>DNS request in AMS</t>
  </si>
  <si>
    <t>Firewall request in AMS</t>
  </si>
  <si>
    <t>F5 Load Balancer in AMS</t>
  </si>
  <si>
    <t>priority</t>
  </si>
  <si>
    <t>direction</t>
  </si>
  <si>
    <t>access</t>
  </si>
  <si>
    <t>protocol</t>
  </si>
  <si>
    <t>source_port_range</t>
  </si>
  <si>
    <t>destination_port_ranges</t>
  </si>
  <si>
    <t>source_asg</t>
  </si>
  <si>
    <t>destination_asg</t>
  </si>
  <si>
    <t>source_address_prefixes</t>
  </si>
  <si>
    <t>destination_address_prefixes</t>
  </si>
  <si>
    <t>description</t>
  </si>
  <si>
    <t>Inbound</t>
  </si>
  <si>
    <t>Allow</t>
  </si>
  <si>
    <t>Tcp</t>
  </si>
  <si>
    <t>*</t>
  </si>
  <si>
    <t>Outbound</t>
  </si>
  <si>
    <t>Deny</t>
  </si>
  <si>
    <t>Udp</t>
  </si>
  <si>
    <t>Icmp</t>
  </si>
  <si>
    <t>Esp</t>
  </si>
  <si>
    <t>Ah</t>
  </si>
  <si>
    <t>backend_address_pool</t>
  </si>
  <si>
    <t>defaultaddresspool</t>
  </si>
  <si>
    <t>fqdns</t>
  </si>
  <si>
    <t>ip_addresses</t>
  </si>
  <si>
    <t>backend_http_settings</t>
  </si>
  <si>
    <t>affinity_cookie_name</t>
  </si>
  <si>
    <t>cookie_based_affinity</t>
  </si>
  <si>
    <t>Disabled</t>
  </si>
  <si>
    <t>host_name</t>
  </si>
  <si>
    <t>defaulthttpsetting</t>
  </si>
  <si>
    <t>path</t>
  </si>
  <si>
    <t>pick_host_name_from_backend_address</t>
  </si>
  <si>
    <t>port</t>
  </si>
  <si>
    <t>probe_name</t>
  </si>
  <si>
    <t>defaultprobe-Http</t>
  </si>
  <si>
    <t>Http</t>
  </si>
  <si>
    <t>request_timeout</t>
  </si>
  <si>
    <t>trusted_root_certificate_names</t>
  </si>
  <si>
    <t>frontend_ip_configuration</t>
  </si>
  <si>
    <t>appGwPublicFrontendIpIPv4</t>
  </si>
  <si>
    <t>private_ip_address_allocation</t>
  </si>
  <si>
    <t>private_ip_address</t>
  </si>
  <si>
    <t>private_link_configuration_name</t>
  </si>
  <si>
    <t>public_ip_address_id</t>
  </si>
  <si>
    <t>subnet_id</t>
  </si>
  <si>
    <t>appGwPrivateFrontendIpIPv4</t>
  </si>
  <si>
    <t>snet-apgw</t>
  </si>
  <si>
    <t>frontend_port</t>
  </si>
  <si>
    <t>fp-443</t>
  </si>
  <si>
    <t>fp-80</t>
  </si>
  <si>
    <t>http_listener</t>
  </si>
  <si>
    <t>firewall_policy_id</t>
  </si>
  <si>
    <t>frontend_ip_configuration_name</t>
  </si>
  <si>
    <t>frontend_port_name</t>
  </si>
  <si>
    <t>host_names</t>
  </si>
  <si>
    <t>require_sni</t>
  </si>
  <si>
    <t>ssl_certificate_name</t>
  </si>
  <si>
    <t>ssl_profile_name</t>
  </si>
  <si>
    <t>probe</t>
  </si>
  <si>
    <t>host</t>
  </si>
  <si>
    <t>localhost</t>
  </si>
  <si>
    <t>interval</t>
  </si>
  <si>
    <t>minimum_servers</t>
  </si>
  <si>
    <t>/</t>
  </si>
  <si>
    <t>pick_host_name_from_backend_http_settings</t>
  </si>
  <si>
    <t>timeout</t>
  </si>
  <si>
    <t>unhealthy_threshold</t>
  </si>
  <si>
    <t>match body</t>
  </si>
  <si>
    <t>match status_code</t>
  </si>
  <si>
    <t>["200-399"]</t>
  </si>
  <si>
    <t>request_routing_rule</t>
  </si>
  <si>
    <t>backend_address_pool_name</t>
  </si>
  <si>
    <t>backend_http_settings_name</t>
  </si>
  <si>
    <t>http_listener_name</t>
  </si>
  <si>
    <t>fl-default</t>
  </si>
  <si>
    <t>rr-default</t>
  </si>
  <si>
    <t>redirect_configuration_name</t>
  </si>
  <si>
    <t>rewrite_rule_set_name</t>
  </si>
  <si>
    <t>rule_type</t>
  </si>
  <si>
    <t>url_path_map_name</t>
  </si>
  <si>
    <t>rewrite_rule_set</t>
  </si>
  <si>
    <t>app-env-rewrite</t>
  </si>
  <si>
    <t>url_path_map</t>
  </si>
  <si>
    <t>default_backend_address_pool_name</t>
  </si>
  <si>
    <t>pool-</t>
  </si>
  <si>
    <t>default_backend_http_settings_name</t>
  </si>
  <si>
    <t>bp-</t>
  </si>
  <si>
    <t>default_redirect_configuration_name</t>
  </si>
  <si>
    <t>default_rewrite_rule_set_name</t>
  </si>
  <si>
    <t>url-</t>
  </si>
  <si>
    <t>path_rule</t>
  </si>
  <si>
    <t>pr-</t>
  </si>
  <si>
    <t>paths</t>
  </si>
  <si>
    <t>["/oauth2*"]</t>
  </si>
  <si>
    <t>action</t>
  </si>
  <si>
    <t>ip_range</t>
  </si>
  <si>
    <t>Prefix</t>
  </si>
  <si>
    <t>Suffix</t>
  </si>
  <si>
    <t>Resource_Group</t>
  </si>
  <si>
    <t>rg-appname-env</t>
  </si>
  <si>
    <t>Application_Security_Group</t>
  </si>
  <si>
    <t>snet-appname-env</t>
  </si>
  <si>
    <t>Network_Security_Group</t>
  </si>
  <si>
    <t>User_Assigned_Identity</t>
  </si>
  <si>
    <t>Private_Endpoint</t>
  </si>
  <si>
    <t>Key_Vault</t>
  </si>
  <si>
    <t>Key_Vault_Key</t>
  </si>
  <si>
    <t>Disk_Encryption_Set</t>
  </si>
  <si>
    <t>Virtual_Machine</t>
  </si>
  <si>
    <t>Storage_Account</t>
  </si>
  <si>
    <t>Storage_Share</t>
  </si>
  <si>
    <t>AKS</t>
  </si>
  <si>
    <t>AKS_Default_Node</t>
  </si>
  <si>
    <t>AKS_Cluster_Node</t>
  </si>
  <si>
    <t>Azure_Container_Registry</t>
  </si>
  <si>
    <t>Application_Gateway</t>
  </si>
  <si>
    <t>App_Service_Plan</t>
  </si>
  <si>
    <t>App_Service_Environment</t>
  </si>
  <si>
    <t>Windows_Web_App</t>
  </si>
  <si>
    <t>Azure_Cache_for_Redis</t>
  </si>
  <si>
    <t>Application_Insights</t>
  </si>
  <si>
    <t>Data_Collection_Rule</t>
  </si>
  <si>
    <t>Log_Analytics_Workspace</t>
  </si>
  <si>
    <t>Azure_Monitor_Workspace</t>
  </si>
  <si>
    <t>Azure_Managed_Grafana</t>
  </si>
  <si>
    <t>Public_IP_Address</t>
  </si>
  <si>
    <t>Load_Balancer</t>
  </si>
  <si>
    <t>MS_SQL_Server</t>
  </si>
  <si>
    <t>MS_SQL_Database</t>
  </si>
  <si>
    <t>MS_SQL_Managed_Instance</t>
  </si>
  <si>
    <t>RDP_SSH_Access</t>
  </si>
  <si>
    <t>Post_Deployment</t>
  </si>
  <si>
    <t>Route_Table</t>
  </si>
  <si>
    <t>VNET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</si>
</sst>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u/>
      <sz val="11"/>
      <color theme="10"/>
      <name val="Calibri"/>
      <family val="2"/>
      <scheme val="minor"/>
    </font>
    <font>
      <b/>
      <sz val="11"/>
      <color rgb="FF000000"/>
      <name val="Calibri"/>
      <family val="2"/>
      <scheme val="minor"/>
    </font>
    <font>
      <sz val="9"/>
      <color indexed="81"/>
      <name val="Tahoma"/>
      <family val="2"/>
    </font>
    <font>
      <b/>
      <sz val="9"/>
      <color indexed="81"/>
      <name val="Tahoma"/>
      <family val="2"/>
    </font>
    <font>
      <i/>
      <sz val="11"/>
      <color rgb="FF000000"/>
      <name val="Calibri"/>
      <family val="2"/>
      <scheme val="minor"/>
    </font>
    <font>
      <strike/>
      <sz val="11"/>
      <color rgb="FF000000"/>
      <name val="Calibri"/>
      <family val="2"/>
      <scheme val="minor"/>
    </font>
    <font>
      <i/>
      <sz val="11"/>
      <color theme="1"/>
      <name val="Calibri"/>
      <family val="2"/>
      <scheme val="minor"/>
    </font>
    <font>
      <b/>
      <sz val="11"/>
      <color rgb="FF000000"/>
      <name val="Calibri"/>
      <family val="2"/>
    </font>
    <font>
      <sz val="11"/>
      <color rgb="FF000000"/>
      <name val="Calibri"/>
      <family val="2"/>
    </font>
    <font>
      <b/>
      <u/>
      <sz val="11"/>
      <color theme="10"/>
      <name val="Calibri"/>
      <family val="2"/>
      <scheme val="minor"/>
    </font>
    <font>
      <b/>
      <sz val="11"/>
      <color theme="0"/>
      <name val="Calibri"/>
      <family val="2"/>
      <scheme val="minor"/>
    </font>
    <font>
      <sz val="11"/>
      <color rgb="FF000000"/>
      <name val="Calibri"/>
    </font>
    <font>
      <sz val="12"/>
      <color theme="1"/>
      <name val="Segoe UI Symbol"/>
      <family val="2"/>
    </font>
    <font>
      <b/>
      <sz val="12"/>
      <color theme="1"/>
      <name val="Times New Roman"/>
      <family val="1"/>
    </font>
  </fonts>
  <fills count="14">
    <fill>
      <patternFill patternType="none"/>
    </fill>
    <fill>
      <patternFill patternType="gray125"/>
    </fill>
    <fill>
      <patternFill patternType="solid">
        <fgColor theme="9"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D9E1F2"/>
        <bgColor rgb="FFD9E1F2"/>
      </patternFill>
    </fill>
    <fill>
      <patternFill patternType="solid">
        <fgColor theme="4" tint="0.79998168889431442"/>
        <bgColor theme="4" tint="0.79998168889431442"/>
      </patternFill>
    </fill>
    <fill>
      <patternFill patternType="solid">
        <fgColor rgb="FFB4C6E7"/>
        <bgColor rgb="FF000000"/>
      </patternFill>
    </fill>
    <fill>
      <patternFill patternType="solid">
        <fgColor rgb="FFFFFF00"/>
        <bgColor rgb="FFD9E1F2"/>
      </patternFill>
    </fill>
    <fill>
      <patternFill patternType="solid">
        <fgColor theme="4"/>
        <bgColor theme="4"/>
      </patternFill>
    </fill>
    <fill>
      <patternFill patternType="solid">
        <fgColor rgb="FF4472C4"/>
        <bgColor indexed="64"/>
      </patternFill>
    </fill>
    <fill>
      <patternFill patternType="solid">
        <fgColor theme="5" tint="0.59999389629810485"/>
        <bgColor indexed="64"/>
      </patternFill>
    </fill>
    <fill>
      <patternFill patternType="solid">
        <fgColor theme="0"/>
        <bgColor indexed="64"/>
      </patternFill>
    </fill>
    <fill>
      <patternFill patternType="solid">
        <fgColor theme="2"/>
        <bgColor indexed="64"/>
      </patternFill>
    </fill>
  </fills>
  <borders count="16">
    <border>
      <left/>
      <right/>
      <top/>
      <bottom/>
      <diagonal/>
    </border>
    <border>
      <left/>
      <right/>
      <top/>
      <bottom style="thick">
        <color indexed="64"/>
      </bottom>
      <diagonal/>
    </border>
    <border>
      <left style="thin">
        <color theme="4" tint="0.39997558519241921"/>
      </left>
      <right/>
      <top style="thin">
        <color theme="4" tint="0.39997558519241921"/>
      </top>
      <bottom style="thick">
        <color indexed="64"/>
      </bottom>
      <diagonal/>
    </border>
    <border>
      <left/>
      <right/>
      <top style="thin">
        <color rgb="FF8EA9DB"/>
      </top>
      <bottom style="thin">
        <color rgb="FF8EA9DB"/>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8EA9DB"/>
      </left>
      <right/>
      <top style="thin">
        <color rgb="FF8EA9DB"/>
      </top>
      <bottom style="thick">
        <color indexed="64"/>
      </bottom>
      <diagonal/>
    </border>
    <border>
      <left/>
      <right/>
      <top style="thin">
        <color rgb="FF8EA9DB"/>
      </top>
      <bottom style="thick">
        <color indexed="64"/>
      </bottom>
      <diagonal/>
    </border>
    <border>
      <left/>
      <right style="thin">
        <color rgb="FF8EA9DB"/>
      </right>
      <top style="thin">
        <color rgb="FF8EA9DB"/>
      </top>
      <bottom style="thick">
        <color indexed="64"/>
      </bottom>
      <diagonal/>
    </border>
    <border>
      <left style="thin">
        <color rgb="FF8EA9DB"/>
      </left>
      <right/>
      <top style="thin">
        <color rgb="FF8EA9DB"/>
      </top>
      <bottom style="thin">
        <color rgb="FF8EA9DB"/>
      </bottom>
      <diagonal/>
    </border>
    <border>
      <left/>
      <right/>
      <top style="thin">
        <color rgb="FF8EA9DB"/>
      </top>
      <bottom/>
      <diagonal/>
    </border>
    <border>
      <left/>
      <right style="thin">
        <color rgb="FF8EA9DB"/>
      </right>
      <top style="thin">
        <color rgb="FF8EA9DB"/>
      </top>
      <bottom style="thin">
        <color rgb="FF8EA9DB"/>
      </bottom>
      <diagonal/>
    </border>
    <border>
      <left style="thin">
        <color rgb="FF8EA9DB"/>
      </left>
      <right/>
      <top/>
      <bottom style="thick">
        <color indexed="64"/>
      </bottom>
      <diagonal/>
    </border>
    <border>
      <left/>
      <right style="thin">
        <color rgb="FF8EA9DB"/>
      </right>
      <top/>
      <bottom style="thick">
        <color indexed="64"/>
      </bottom>
      <diagonal/>
    </border>
    <border>
      <left style="thin">
        <color rgb="FF8EA9DB"/>
      </left>
      <right/>
      <top style="thin">
        <color rgb="FF8EA9DB"/>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11">
    <xf numFmtId="0" fontId="0" fillId="0" borderId="0" xfId="0"/>
    <xf numFmtId="0" fontId="4" fillId="0" borderId="0" xfId="0" applyFont="1"/>
    <xf numFmtId="0" fontId="4" fillId="0" borderId="0" xfId="0" applyFont="1" applyAlignment="1">
      <alignment wrapText="1"/>
    </xf>
    <xf numFmtId="0" fontId="4" fillId="0" borderId="0" xfId="0" applyFont="1" applyAlignment="1">
      <alignment vertical="top" wrapText="1"/>
    </xf>
    <xf numFmtId="0" fontId="0" fillId="0" borderId="0" xfId="0" applyAlignment="1">
      <alignment wrapText="1"/>
    </xf>
    <xf numFmtId="0" fontId="0" fillId="2" borderId="0" xfId="0" applyFill="1"/>
    <xf numFmtId="0" fontId="4" fillId="3" borderId="0" xfId="0" applyFont="1" applyFill="1"/>
    <xf numFmtId="0" fontId="0" fillId="0" borderId="0" xfId="0" applyAlignment="1">
      <alignment horizontal="left"/>
    </xf>
    <xf numFmtId="0" fontId="4" fillId="0" borderId="0" xfId="0" applyFont="1" applyAlignment="1">
      <alignment horizontal="left"/>
    </xf>
    <xf numFmtId="0" fontId="4" fillId="3" borderId="0" xfId="0" applyFont="1" applyFill="1" applyAlignment="1">
      <alignment horizontal="left"/>
    </xf>
    <xf numFmtId="0" fontId="3" fillId="4" borderId="1" xfId="0" applyFont="1" applyFill="1" applyBorder="1" applyAlignment="1">
      <alignment wrapText="1"/>
    </xf>
    <xf numFmtId="0" fontId="3" fillId="4" borderId="1" xfId="0" applyFont="1" applyFill="1" applyBorder="1"/>
    <xf numFmtId="0" fontId="3" fillId="4" borderId="1" xfId="0" applyFont="1" applyFill="1" applyBorder="1" applyAlignment="1">
      <alignment horizontal="left"/>
    </xf>
    <xf numFmtId="0" fontId="3" fillId="4" borderId="2" xfId="0" applyFont="1" applyFill="1" applyBorder="1" applyAlignment="1">
      <alignment wrapText="1"/>
    </xf>
    <xf numFmtId="0" fontId="6" fillId="4" borderId="1" xfId="0" applyFont="1" applyFill="1" applyBorder="1"/>
    <xf numFmtId="0" fontId="6" fillId="0" borderId="0" xfId="0" applyFont="1" applyAlignment="1">
      <alignment wrapText="1"/>
    </xf>
    <xf numFmtId="0" fontId="3" fillId="0" borderId="0" xfId="0" applyFont="1" applyAlignment="1">
      <alignment horizontal="left"/>
    </xf>
    <xf numFmtId="0" fontId="6" fillId="0" borderId="0" xfId="0" applyFont="1" applyAlignment="1">
      <alignment horizontal="left"/>
    </xf>
    <xf numFmtId="0" fontId="5" fillId="0" borderId="0" xfId="1" applyAlignment="1">
      <alignment wrapText="1"/>
    </xf>
    <xf numFmtId="0" fontId="4" fillId="0" borderId="0" xfId="0" applyFont="1" applyAlignment="1">
      <alignment horizontal="left" wrapText="1"/>
    </xf>
    <xf numFmtId="0" fontId="4" fillId="5" borderId="0" xfId="0" applyFont="1" applyFill="1" applyAlignment="1">
      <alignment wrapText="1"/>
    </xf>
    <xf numFmtId="0" fontId="9" fillId="0" borderId="0" xfId="0" applyFont="1" applyAlignment="1">
      <alignment horizontal="left"/>
    </xf>
    <xf numFmtId="0" fontId="5" fillId="0" borderId="0" xfId="1" applyFill="1" applyBorder="1" applyAlignment="1">
      <alignment wrapText="1"/>
    </xf>
    <xf numFmtId="0" fontId="5" fillId="0" borderId="0" xfId="1" applyAlignment="1">
      <alignment horizontal="left"/>
    </xf>
    <xf numFmtId="0" fontId="10" fillId="0" borderId="0" xfId="0" applyFont="1" applyAlignment="1">
      <alignment wrapText="1"/>
    </xf>
    <xf numFmtId="0" fontId="11" fillId="0" borderId="0" xfId="0" applyFont="1" applyAlignment="1">
      <alignment horizontal="left"/>
    </xf>
    <xf numFmtId="0" fontId="13" fillId="5" borderId="9" xfId="0" applyFont="1" applyFill="1" applyBorder="1" applyAlignment="1">
      <alignment wrapText="1"/>
    </xf>
    <xf numFmtId="0" fontId="13" fillId="0" borderId="3" xfId="0" applyFont="1" applyBorder="1"/>
    <xf numFmtId="0" fontId="4" fillId="6" borderId="5" xfId="0" applyFont="1" applyFill="1" applyBorder="1" applyAlignment="1">
      <alignment horizontal="left"/>
    </xf>
    <xf numFmtId="0" fontId="13" fillId="0" borderId="10" xfId="0" applyFont="1" applyBorder="1"/>
    <xf numFmtId="0" fontId="13" fillId="5" borderId="11" xfId="0" applyFont="1" applyFill="1" applyBorder="1"/>
    <xf numFmtId="0" fontId="13" fillId="2" borderId="3" xfId="0" applyFont="1" applyFill="1" applyBorder="1"/>
    <xf numFmtId="0" fontId="4" fillId="6" borderId="4" xfId="0" applyFont="1" applyFill="1" applyBorder="1" applyAlignment="1">
      <alignment wrapText="1"/>
    </xf>
    <xf numFmtId="0" fontId="4" fillId="0" borderId="5" xfId="0" applyFont="1" applyBorder="1"/>
    <xf numFmtId="0" fontId="6" fillId="7" borderId="7" xfId="0" applyFont="1" applyFill="1" applyBorder="1" applyAlignment="1">
      <alignment horizontal="left"/>
    </xf>
    <xf numFmtId="0" fontId="12" fillId="7" borderId="7" xfId="0" applyFont="1" applyFill="1" applyBorder="1"/>
    <xf numFmtId="0" fontId="12" fillId="7" borderId="8" xfId="0" applyFont="1" applyFill="1" applyBorder="1"/>
    <xf numFmtId="0" fontId="4" fillId="5" borderId="3" xfId="0" applyFont="1" applyFill="1" applyBorder="1" applyAlignment="1">
      <alignment horizontal="left"/>
    </xf>
    <xf numFmtId="0" fontId="0" fillId="6" borderId="5" xfId="0" applyFill="1" applyBorder="1"/>
    <xf numFmtId="0" fontId="12" fillId="5" borderId="9" xfId="0" applyFont="1" applyFill="1" applyBorder="1" applyAlignment="1">
      <alignment wrapText="1"/>
    </xf>
    <xf numFmtId="0" fontId="4" fillId="2" borderId="5" xfId="0" applyFont="1" applyFill="1" applyBorder="1"/>
    <xf numFmtId="0" fontId="13" fillId="5" borderId="3" xfId="0" applyFont="1" applyFill="1" applyBorder="1" applyAlignment="1">
      <alignment horizontal="left"/>
    </xf>
    <xf numFmtId="0" fontId="4" fillId="6" borderId="0" xfId="0" applyFont="1" applyFill="1" applyAlignment="1">
      <alignment wrapText="1"/>
    </xf>
    <xf numFmtId="0" fontId="9" fillId="5" borderId="3" xfId="0" applyFont="1" applyFill="1" applyBorder="1" applyAlignment="1">
      <alignment horizontal="left"/>
    </xf>
    <xf numFmtId="0" fontId="12" fillId="7" borderId="12" xfId="0" applyFont="1" applyFill="1" applyBorder="1" applyAlignment="1">
      <alignment wrapText="1"/>
    </xf>
    <xf numFmtId="0" fontId="6" fillId="7" borderId="1" xfId="0" applyFont="1" applyFill="1" applyBorder="1" applyAlignment="1">
      <alignment horizontal="left"/>
    </xf>
    <xf numFmtId="0" fontId="12" fillId="7" borderId="1" xfId="0" applyFont="1" applyFill="1" applyBorder="1"/>
    <xf numFmtId="0" fontId="12" fillId="7" borderId="13" xfId="0" applyFont="1" applyFill="1" applyBorder="1"/>
    <xf numFmtId="0" fontId="5" fillId="7" borderId="1" xfId="0" applyFont="1" applyFill="1" applyBorder="1"/>
    <xf numFmtId="0" fontId="13" fillId="5" borderId="3" xfId="0" applyFont="1" applyFill="1" applyBorder="1"/>
    <xf numFmtId="0" fontId="4" fillId="5" borderId="10" xfId="0" applyFont="1" applyFill="1" applyBorder="1" applyAlignment="1">
      <alignment horizontal="left"/>
    </xf>
    <xf numFmtId="0" fontId="13" fillId="5" borderId="10" xfId="0" applyFont="1" applyFill="1" applyBorder="1"/>
    <xf numFmtId="0" fontId="4" fillId="2" borderId="0" xfId="0" applyFont="1" applyFill="1" applyAlignment="1">
      <alignment wrapText="1"/>
    </xf>
    <xf numFmtId="0" fontId="4" fillId="2" borderId="0" xfId="0" applyFont="1" applyFill="1"/>
    <xf numFmtId="0" fontId="4" fillId="2" borderId="3" xfId="0" applyFont="1" applyFill="1" applyBorder="1"/>
    <xf numFmtId="0" fontId="0" fillId="2" borderId="0" xfId="0" applyFill="1" applyAlignment="1">
      <alignment wrapText="1"/>
    </xf>
    <xf numFmtId="0" fontId="5" fillId="7" borderId="1" xfId="1" applyFill="1" applyBorder="1"/>
    <xf numFmtId="0" fontId="14" fillId="7" borderId="7" xfId="1" applyFont="1" applyFill="1" applyBorder="1"/>
    <xf numFmtId="0" fontId="14" fillId="4" borderId="1" xfId="1" applyFont="1" applyFill="1" applyBorder="1"/>
    <xf numFmtId="0" fontId="13" fillId="0" borderId="0" xfId="0" applyFont="1"/>
    <xf numFmtId="0" fontId="12" fillId="7" borderId="6" xfId="0" applyFont="1" applyFill="1" applyBorder="1" applyAlignment="1">
      <alignment wrapText="1"/>
    </xf>
    <xf numFmtId="0" fontId="4" fillId="8" borderId="3" xfId="0" applyFont="1" applyFill="1" applyBorder="1" applyAlignment="1">
      <alignment horizontal="left"/>
    </xf>
    <xf numFmtId="0" fontId="13" fillId="5" borderId="14" xfId="0" applyFont="1" applyFill="1" applyBorder="1" applyAlignment="1">
      <alignment wrapText="1"/>
    </xf>
    <xf numFmtId="0" fontId="2" fillId="0" borderId="0" xfId="0" applyFont="1" applyAlignment="1">
      <alignment horizontal="left"/>
    </xf>
    <xf numFmtId="0" fontId="2" fillId="0" borderId="0" xfId="0" applyFont="1"/>
    <xf numFmtId="49" fontId="6" fillId="4" borderId="0" xfId="0" applyNumberFormat="1" applyFont="1" applyFill="1"/>
    <xf numFmtId="0" fontId="1" fillId="2" borderId="0" xfId="0" applyFont="1" applyFill="1" applyAlignment="1">
      <alignment horizontal="left"/>
    </xf>
    <xf numFmtId="0" fontId="1" fillId="0" borderId="0" xfId="0" applyFont="1" applyAlignment="1">
      <alignment horizontal="left"/>
    </xf>
    <xf numFmtId="0" fontId="1" fillId="0" borderId="0" xfId="0" applyFont="1"/>
    <xf numFmtId="0" fontId="1" fillId="2" borderId="0" xfId="0" applyFont="1" applyFill="1"/>
    <xf numFmtId="49" fontId="1" fillId="2" borderId="0" xfId="0" applyNumberFormat="1" applyFont="1" applyFill="1" applyAlignment="1">
      <alignment horizontal="left"/>
    </xf>
    <xf numFmtId="49" fontId="1" fillId="2" borderId="0" xfId="0" applyNumberFormat="1" applyFont="1" applyFill="1"/>
    <xf numFmtId="49" fontId="1" fillId="0" borderId="0" xfId="0" applyNumberFormat="1" applyFont="1" applyAlignment="1">
      <alignment horizontal="left"/>
    </xf>
    <xf numFmtId="164" fontId="1" fillId="0" borderId="0" xfId="0" applyNumberFormat="1" applyFont="1" applyAlignment="1">
      <alignment horizontal="left"/>
    </xf>
    <xf numFmtId="164" fontId="1" fillId="2" borderId="0" xfId="0" applyNumberFormat="1" applyFont="1" applyFill="1" applyAlignment="1">
      <alignment horizontal="left"/>
    </xf>
    <xf numFmtId="0" fontId="4" fillId="0" borderId="0" xfId="1" applyFont="1" applyAlignment="1">
      <alignment horizontal="left"/>
    </xf>
    <xf numFmtId="0" fontId="3" fillId="2" borderId="0" xfId="0" applyFont="1" applyFill="1"/>
    <xf numFmtId="0" fontId="1" fillId="0" borderId="0" xfId="0" applyFont="1" applyAlignment="1">
      <alignment horizontal="left" wrapText="1"/>
    </xf>
    <xf numFmtId="0" fontId="3" fillId="2" borderId="0" xfId="0" applyFont="1" applyFill="1" applyAlignment="1">
      <alignment horizontal="left"/>
    </xf>
    <xf numFmtId="0" fontId="13" fillId="2" borderId="0" xfId="0" applyFont="1" applyFill="1"/>
    <xf numFmtId="0" fontId="3" fillId="0" borderId="0" xfId="0" applyFont="1"/>
    <xf numFmtId="0" fontId="0" fillId="0" borderId="0" xfId="0" applyAlignment="1">
      <alignment horizontal="left" wrapText="1"/>
    </xf>
    <xf numFmtId="0" fontId="13" fillId="0" borderId="0" xfId="0" applyFont="1" applyAlignment="1">
      <alignment horizontal="left"/>
    </xf>
    <xf numFmtId="0" fontId="15" fillId="9" borderId="15" xfId="0" applyFont="1" applyFill="1" applyBorder="1" applyAlignment="1">
      <alignment horizontal="left"/>
    </xf>
    <xf numFmtId="0" fontId="15" fillId="10" borderId="0" xfId="0" applyFont="1" applyFill="1"/>
    <xf numFmtId="0" fontId="11" fillId="0" borderId="0" xfId="0" applyFont="1"/>
    <xf numFmtId="0" fontId="16" fillId="0" borderId="3" xfId="0" applyFont="1" applyBorder="1"/>
    <xf numFmtId="0" fontId="4" fillId="6" borderId="3" xfId="0" applyFont="1" applyFill="1" applyBorder="1" applyAlignment="1">
      <alignment horizontal="left"/>
    </xf>
    <xf numFmtId="0" fontId="16" fillId="5" borderId="11" xfId="0" applyFont="1" applyFill="1" applyBorder="1"/>
    <xf numFmtId="0" fontId="16" fillId="2" borderId="3" xfId="0" applyFont="1" applyFill="1" applyBorder="1"/>
    <xf numFmtId="0" fontId="0" fillId="6" borderId="5" xfId="0" applyFill="1" applyBorder="1" applyAlignment="1">
      <alignment horizontal="left"/>
    </xf>
    <xf numFmtId="0" fontId="0" fillId="6" borderId="4" xfId="0" applyFill="1" applyBorder="1"/>
    <xf numFmtId="0" fontId="0" fillId="2" borderId="0" xfId="0" applyFill="1" applyAlignment="1">
      <alignment horizontal="left"/>
    </xf>
    <xf numFmtId="0" fontId="4" fillId="11" borderId="3" xfId="0" applyFont="1" applyFill="1" applyBorder="1" applyAlignment="1">
      <alignment horizontal="left"/>
    </xf>
    <xf numFmtId="49" fontId="0" fillId="2" borderId="0" xfId="0" applyNumberFormat="1" applyFill="1" applyAlignment="1">
      <alignment horizontal="left"/>
    </xf>
    <xf numFmtId="0" fontId="4" fillId="12" borderId="0" xfId="0" applyFont="1" applyFill="1"/>
    <xf numFmtId="0" fontId="5" fillId="2" borderId="0" xfId="1" applyFill="1" applyAlignment="1">
      <alignment horizontal="left"/>
    </xf>
    <xf numFmtId="0" fontId="9" fillId="5" borderId="0" xfId="0" applyFont="1" applyFill="1" applyAlignment="1">
      <alignment horizontal="left"/>
    </xf>
    <xf numFmtId="0" fontId="4" fillId="13" borderId="0" xfId="0" applyFont="1" applyFill="1"/>
    <xf numFmtId="0" fontId="4" fillId="13" borderId="3" xfId="0" applyFont="1" applyFill="1" applyBorder="1"/>
    <xf numFmtId="0" fontId="1" fillId="13" borderId="0" xfId="0" applyFont="1" applyFill="1" applyAlignment="1">
      <alignment horizontal="left"/>
    </xf>
    <xf numFmtId="0" fontId="9" fillId="13" borderId="0" xfId="0" applyFont="1" applyFill="1" applyAlignment="1">
      <alignment horizontal="left"/>
    </xf>
    <xf numFmtId="0" fontId="9" fillId="13" borderId="0" xfId="0" applyFont="1" applyFill="1" applyAlignment="1">
      <alignment horizontal="left" wrapText="1"/>
    </xf>
    <xf numFmtId="0" fontId="4" fillId="13" borderId="0" xfId="0" applyFont="1" applyFill="1" applyAlignment="1">
      <alignment horizontal="left"/>
    </xf>
    <xf numFmtId="0" fontId="11" fillId="13" borderId="0" xfId="0" applyFont="1" applyFill="1" applyAlignment="1">
      <alignment horizontal="left"/>
    </xf>
    <xf numFmtId="0" fontId="0" fillId="13" borderId="0" xfId="0" applyFill="1"/>
    <xf numFmtId="1" fontId="4" fillId="0" borderId="0" xfId="0" applyNumberFormat="1" applyFont="1" applyAlignment="1">
      <alignment horizontal="left"/>
    </xf>
    <xf numFmtId="0" fontId="17" fillId="0" borderId="0" xfId="0" applyFont="1"/>
    <xf numFmtId="0" fontId="18" fillId="0" borderId="0" xfId="0" applyFont="1" applyAlignment="1">
      <alignment horizontal="left"/>
    </xf>
    <xf numFmtId="0" fontId="5" fillId="0" borderId="0" xfId="1"/>
    <xf numFmtId="0" fontId="0" fillId="0" borderId="0" xfId="0" applyAlignment="1">
      <alignment horizontal="center"/>
    </xf>
  </cellXfs>
  <cellStyles count="2">
    <cellStyle name="Hyperlink" xfId="1" builtinId="8"/>
    <cellStyle name="Normal" xfId="0" builtinId="0"/>
  </cellStyles>
  <dxfs count="354">
    <dxf>
      <border outline="0">
        <top style="thin">
          <color indexed="64"/>
        </top>
      </border>
    </dxf>
    <dxf>
      <font>
        <b/>
        <i val="0"/>
        <strike val="0"/>
        <condense val="0"/>
        <extend val="0"/>
        <outline val="0"/>
        <shadow val="0"/>
        <u val="none"/>
        <vertAlign val="baseline"/>
        <sz val="11"/>
        <color rgb="FF000000"/>
        <name val="Calibri"/>
        <family val="2"/>
        <scheme val="minor"/>
      </font>
      <numFmt numFmtId="30" formatCode="@"/>
      <fill>
        <patternFill patternType="solid">
          <fgColor indexed="64"/>
          <bgColor theme="4" tint="0.59999389629810485"/>
        </patternFill>
      </fill>
      <border diagonalUp="0" diagonalDown="0">
        <left style="thin">
          <color indexed="64"/>
        </left>
        <right style="thin">
          <color indexed="64"/>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scheme val="none"/>
      </font>
      <border diagonalUp="0" diagonalDown="0">
        <left/>
        <right/>
        <top style="thin">
          <color rgb="FF8EA9DB"/>
        </top>
        <bottom/>
        <vertical/>
        <horizontal/>
      </border>
    </dxf>
    <dxf>
      <font>
        <b val="0"/>
        <i val="0"/>
        <strike val="0"/>
        <condense val="0"/>
        <extend val="0"/>
        <outline val="0"/>
        <shadow val="0"/>
        <u val="none"/>
        <vertAlign val="baseline"/>
        <sz val="11"/>
        <color rgb="FF000000"/>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alignment horizontal="general" vertical="bottom" textRotation="0" wrapText="1" indent="0" justifyLastLine="0" shrinkToFit="0" readingOrder="0"/>
      <border diagonalUp="0" diagonalDown="0">
        <left style="thin">
          <color rgb="FF8EA9DB"/>
        </left>
        <right/>
        <top style="thin">
          <color rgb="FF8EA9DB"/>
        </top>
        <bottom style="thin">
          <color rgb="FF8EA9DB"/>
        </bottom>
        <vertical/>
        <horizontal/>
      </border>
    </dxf>
    <dxf>
      <border outline="0">
        <right style="thin">
          <color rgb="FF8EA9DB"/>
        </right>
        <top style="thin">
          <color rgb="FF8EA9DB"/>
        </top>
      </border>
    </dxf>
    <dxf>
      <border outline="0">
        <bottom style="thick">
          <color indexed="64"/>
        </bottom>
      </border>
    </dxf>
    <dxf>
      <font>
        <b/>
        <i val="0"/>
        <strike val="0"/>
        <condense val="0"/>
        <extend val="0"/>
        <outline val="0"/>
        <shadow val="0"/>
        <u val="none"/>
        <vertAlign val="baseline"/>
        <sz val="11"/>
        <color rgb="FF000000"/>
        <name val="Calibri"/>
        <family val="2"/>
        <scheme val="none"/>
      </font>
      <fill>
        <patternFill patternType="solid">
          <fgColor rgb="FF000000"/>
          <bgColor rgb="FFB4C6E7"/>
        </patternFill>
      </fill>
    </dxf>
    <dxf>
      <font>
        <b val="0"/>
        <i val="0"/>
        <strike val="0"/>
        <condense val="0"/>
        <extend val="0"/>
        <outline val="0"/>
        <shadow val="0"/>
        <u val="none"/>
        <vertAlign val="baseline"/>
        <sz val="11"/>
        <color rgb="FF000000"/>
        <name val="Calibri"/>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scheme val="none"/>
      </font>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D9E1F2"/>
          <bgColor rgb="FFD9E1F2"/>
        </patternFill>
      </fill>
      <alignment horizontal="left"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1" indent="0" justifyLastLine="0" shrinkToFit="0" readingOrder="0"/>
      <border diagonalUp="0" diagonalDown="0">
        <left style="thin">
          <color rgb="FF8EA9DB"/>
        </left>
        <right/>
        <top style="thin">
          <color rgb="FF8EA9DB"/>
        </top>
        <bottom style="thin">
          <color rgb="FF8EA9DB"/>
        </bottom>
        <vertical/>
        <horizontal/>
      </border>
    </dxf>
    <dxf>
      <border outline="0">
        <right style="thin">
          <color rgb="FF8EA9DB"/>
        </right>
        <top style="thin">
          <color rgb="FF8EA9DB"/>
        </top>
        <bottom style="thin">
          <color rgb="FF8EA9DB"/>
        </bottom>
      </border>
    </dxf>
    <dxf>
      <border outline="0">
        <bottom style="thick">
          <color indexed="64"/>
        </bottom>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border diagonalUp="0" diagonalDown="0">
        <left/>
        <right style="thin">
          <color rgb="FF8EA9DB"/>
        </right>
        <top style="thin">
          <color rgb="FF8EA9DB"/>
        </top>
        <bottom style="thin">
          <color rgb="FF8EA9DB"/>
        </bottom>
        <vertical/>
        <horizontal/>
      </border>
    </dxf>
    <dxf>
      <font>
        <b val="0"/>
        <i val="0"/>
        <strike val="0"/>
        <condense val="0"/>
        <extend val="0"/>
        <outline val="0"/>
        <shadow val="0"/>
        <u val="none"/>
        <vertAlign val="baseline"/>
        <sz val="11"/>
        <color rgb="FF000000"/>
        <name val="Calibri"/>
        <scheme val="none"/>
      </font>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D9E1F2"/>
          <bgColor rgb="FFD9E1F2"/>
        </patternFill>
      </fill>
      <alignment horizontal="left"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1" indent="0" justifyLastLine="0" shrinkToFit="0" readingOrder="0"/>
      <border diagonalUp="0" diagonalDown="0">
        <left style="thin">
          <color rgb="FF8EA9DB"/>
        </left>
        <right/>
        <top style="thin">
          <color rgb="FF8EA9DB"/>
        </top>
        <bottom style="thin">
          <color rgb="FF8EA9DB"/>
        </bottom>
        <vertical/>
        <horizontal/>
      </border>
    </dxf>
    <dxf>
      <border outline="0">
        <top style="thin">
          <color rgb="FF8EA9DB"/>
        </top>
      </border>
    </dxf>
    <dxf>
      <border outline="0">
        <bottom style="thick">
          <color indexed="64"/>
        </bottom>
      </border>
    </dxf>
    <dxf>
      <font>
        <sz val="11"/>
      </font>
    </dxf>
    <dxf>
      <font>
        <sz val="11"/>
      </font>
    </dxf>
    <dxf>
      <font>
        <sz val="11"/>
      </font>
    </dxf>
    <dxf>
      <font>
        <sz val="11"/>
        <name val="Calibri"/>
        <scheme val="minor"/>
      </font>
      <alignment horizontal="left"/>
    </dxf>
    <dxf>
      <font>
        <sz val="11"/>
      </font>
    </dxf>
    <dxf>
      <font>
        <sz val="11"/>
      </font>
    </dxf>
    <dxf>
      <font>
        <sz val="11"/>
      </font>
    </dxf>
    <dxf>
      <font>
        <sz val="11"/>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ont>
        <b val="0"/>
        <i/>
      </font>
      <fill>
        <patternFill>
          <bgColor theme="2"/>
        </patternFill>
      </fill>
    </dxf>
    <dxf>
      <font>
        <b val="0"/>
        <i/>
      </font>
      <fill>
        <patternFill>
          <bgColor theme="2"/>
        </patternFill>
      </fill>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alignment horizontal="general" textRotation="0" wrapText="1" indent="0" justifyLastLine="0" shrinkToFit="0" readingOrder="0"/>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ont>
        <b val="0"/>
        <i/>
      </font>
      <fill>
        <patternFill>
          <bgColor theme="2"/>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ont>
        <b val="0"/>
        <i/>
      </font>
      <fill>
        <patternFill>
          <bgColor theme="2"/>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
      <fill>
        <patternFill>
          <bgColor theme="5" tint="0.3999450666829432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641350</xdr:colOff>
          <xdr:row>0</xdr:row>
          <xdr:rowOff>12700</xdr:rowOff>
        </xdr:from>
        <xdr:to>
          <xdr:col>1</xdr:col>
          <xdr:colOff>1238250</xdr:colOff>
          <xdr:row>0</xdr:row>
          <xdr:rowOff>209550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1289050</xdr:colOff>
          <xdr:row>0</xdr:row>
          <xdr:rowOff>12700</xdr:rowOff>
        </xdr:from>
        <xdr:to>
          <xdr:col>2</xdr:col>
          <xdr:colOff>0</xdr:colOff>
          <xdr:row>0</xdr:row>
          <xdr:rowOff>209550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ravis Paskey" id="{010C3CFA-4CF2-4231-8DEF-140BA6239537}" userId="Travis Paskey"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DF641F8-FA6E-46CF-8836-A38D6ED5656D}" name="Overview38" displayName="Overview38" ref="A2:E31" headerRowCount="0" totalsRowShown="0">
  <tableColumns count="5">
    <tableColumn id="1" xr3:uid="{784174F2-1094-4E50-BE79-10FCEE136FA9}" name="Column1" dataDxfId="329"/>
    <tableColumn id="2" xr3:uid="{A18225E4-B6E3-49CE-A69F-47E25AA7C212}" name="Column2" dataDxfId="328"/>
    <tableColumn id="3" xr3:uid="{60C99A2B-757C-4000-BEE9-129F223F7FC3}" name="Column3" dataDxfId="327"/>
    <tableColumn id="4" xr3:uid="{558E20E0-DB45-4D65-9016-C7E0991393D2}" name="Column4" dataDxfId="326"/>
    <tableColumn id="5" xr3:uid="{6CF8C8E6-430C-4447-AD5A-C26D8F68C23B}" name="Column5" dataDxfId="325"/>
  </tableColumns>
  <tableStyleInfo name="TableStyleMedium2" showFirstColumn="0"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A5C2AD7-28D2-483C-95FD-1B517B81B45B}" name="Resource_Group45" displayName="Resource_Group45" ref="A33:E37" headerRowCount="0" totalsRowShown="0">
  <tableColumns count="5">
    <tableColumn id="1" xr3:uid="{BD1625E5-F0F5-423A-9C0E-6694BAFC48A2}" name="Column1" dataDxfId="324"/>
    <tableColumn id="2" xr3:uid="{707E699C-412A-4798-BFEA-D5A052C892CF}" name="Column2" dataDxfId="323"/>
    <tableColumn id="3" xr3:uid="{A89568B1-BBC1-4420-BA80-04580AD90077}" name="Column3" dataDxfId="322"/>
    <tableColumn id="4" xr3:uid="{17654B99-6DAD-4DB0-B936-961BB6B31619}" name="Column4" dataDxfId="321"/>
    <tableColumn id="5" xr3:uid="{25000501-5A0B-4E3D-80C6-54385A4E9936}" name="Column5" dataDxfId="320"/>
  </tableColumns>
  <tableStyleInfo name="TableStyleMedium2" showFirstColumn="0"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AE145D1-F3AC-439F-B2AA-A31564BEF961}" name="Application_Security_Group46" displayName="Application_Security_Group46" ref="A39:E41" headerRowCount="0" totalsRowShown="0">
  <tableColumns count="5">
    <tableColumn id="1" xr3:uid="{EDA7D71A-A1DA-4EC0-9836-F10232914A78}" name="Column1" dataDxfId="319"/>
    <tableColumn id="2" xr3:uid="{AAE949CF-6D0B-47B1-A1B5-C15F663FE1CC}" name="Column2" dataDxfId="318"/>
    <tableColumn id="3" xr3:uid="{32980CF6-571A-4AB5-A9CC-9BE3039ABB56}" name="Column3" dataDxfId="317"/>
    <tableColumn id="4" xr3:uid="{F080F0C5-AE52-4850-9BBD-79CB06432174}" name="Column4" dataDxfId="316"/>
    <tableColumn id="5" xr3:uid="{9A3964E7-F207-4C2B-99A9-DCE130BB2B6B}" name="Column5" dataDxfId="315"/>
  </tableColumns>
  <tableStyleInfo name="TableStyleMedium2" showFirstColumn="0" showLastColumn="0" showRowStripes="0"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C31B576-6B31-4C18-A284-5037D48E3192}" name="Application_Security_Group51" displayName="Application_Security_Group51" ref="A43:E45" headerRowCount="0" totalsRowShown="0">
  <tableColumns count="5">
    <tableColumn id="1" xr3:uid="{75448737-09DC-4DD2-93D5-C6F21EE12893}" name="Column1" dataDxfId="314"/>
    <tableColumn id="2" xr3:uid="{683C5851-4C85-4DAD-8C27-A8324FEC90A5}" name="Column2" dataDxfId="313"/>
    <tableColumn id="3" xr3:uid="{35874EC2-F75C-4793-8D25-B01690D0D351}" name="Column3" dataDxfId="312"/>
    <tableColumn id="4" xr3:uid="{0AAB0466-FD57-428E-9744-188964930822}" name="Column4" dataDxfId="311"/>
    <tableColumn id="5" xr3:uid="{EC2D7470-6B41-4BBA-9586-E8DB3B5F6C55}" name="Column5" dataDxfId="310"/>
  </tableColumns>
  <tableStyleInfo name="TableStyleMedium2" showFirstColumn="0" showLastColumn="0" showRowStripes="0" showColumnStripes="1"/>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3CC72987-DE81-4B94-9ECF-1FB7B5776531}" name="Subnet52" displayName="Subnet52" ref="A47:E55" headerRowCount="0" totalsRowShown="0">
  <tableColumns count="5">
    <tableColumn id="1" xr3:uid="{58B1F3D9-58E0-4258-90C1-7815F022D9F2}" name="Column1" dataDxfId="309"/>
    <tableColumn id="2" xr3:uid="{8555E89F-5005-4202-ADC9-0E211CB3F305}" name="Column2" dataDxfId="308"/>
    <tableColumn id="3" xr3:uid="{68A82D7F-C11C-4477-B72C-0A0CFAEF2009}" name="Column3" dataDxfId="307"/>
    <tableColumn id="4" xr3:uid="{CA999CDA-4A29-41D6-BDAE-DBF6453189EE}" name="Column4" dataDxfId="306"/>
    <tableColumn id="5" xr3:uid="{6B277F9B-6876-4277-9259-31010DCF1E7C}" name="Column5" dataDxfId="305"/>
  </tableColumns>
  <tableStyleInfo name="TableStyleMedium2" showFirstColumn="0" showLastColumn="0" showRowStripes="0"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9529B902-AEDE-4256-B2D6-C1C5459C7C37}" name="User_Assigned_Identity53" displayName="User_Assigned_Identity53" ref="A57:E60" headerRowCount="0" totalsRowShown="0">
  <tableColumns count="5">
    <tableColumn id="1" xr3:uid="{2C749A25-A968-4D12-8EC9-E6A2D53BA470}" name="Column1" dataDxfId="304"/>
    <tableColumn id="2" xr3:uid="{3449EDA3-E072-49AF-995E-2A58FBFDDAA6}" name="Column2" dataDxfId="303"/>
    <tableColumn id="3" xr3:uid="{1F52249B-4304-4CB6-8235-4F591A484D68}" name="Column3" dataDxfId="302"/>
    <tableColumn id="4" xr3:uid="{C2ABB4C5-6AE5-417C-A5FF-FBB3A2FABD3D}" name="Column4" dataDxfId="301"/>
    <tableColumn id="5" xr3:uid="{F9C843A7-C875-4951-B4C8-4F28C5CD38EF}" name="Column5" dataDxfId="300"/>
  </tableColumns>
  <tableStyleInfo name="TableStyleMedium2" showFirstColumn="0" showLastColumn="0" showRowStripes="0"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A78905D3-A1A6-45FF-977C-CB3456F8B486}" name="Private_Endpoint54" displayName="Private_Endpoint54" ref="A62:E69" headerRowCount="0" totalsRowShown="0">
  <tableColumns count="5">
    <tableColumn id="1" xr3:uid="{755AC9EF-226D-42C0-8BDF-823326477900}" name="Column1" dataDxfId="299"/>
    <tableColumn id="2" xr3:uid="{127B79F9-BC78-4EEB-A4F2-B12DC20482D6}" name="Column2" dataDxfId="298"/>
    <tableColumn id="3" xr3:uid="{AB2D0E7D-D99D-4422-AD8A-92A69AA28115}" name="Column3" dataDxfId="297"/>
    <tableColumn id="4" xr3:uid="{914AED18-F0D0-466C-9ED8-C4E9A2A87A36}" name="Column4" dataDxfId="296"/>
    <tableColumn id="5" xr3:uid="{C0B48D7E-AB3B-4088-893B-A9E2BB1BA3FC}" name="Column5" dataDxfId="295"/>
  </tableColumns>
  <tableStyleInfo name="TableStyleMedium2" showFirstColumn="0" showLastColumn="0" showRowStripes="0"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94F1605F-1CC9-4878-8163-A0A08223BF5E}" name="Key_Vault55" displayName="Key_Vault55" ref="A71:E83" headerRowCount="0" totalsRowShown="0">
  <tableColumns count="5">
    <tableColumn id="1" xr3:uid="{4D831969-F783-46EB-B72A-6E61ADD244A4}" name="Column1" dataDxfId="294"/>
    <tableColumn id="2" xr3:uid="{1DF8B278-AE8A-4289-A11F-1E342782C487}" name="Column2" dataDxfId="293"/>
    <tableColumn id="3" xr3:uid="{1C1BBC90-9053-49C6-AFB2-7445BDC8D95F}" name="Column3" dataDxfId="292"/>
    <tableColumn id="4" xr3:uid="{FFB983DC-6BC7-4BB2-B9D8-5A9CE250961A}" name="Column4" dataDxfId="291"/>
    <tableColumn id="5" xr3:uid="{19232C5A-73A5-4757-B8A0-16D5962D303C}" name="Column5" dataDxfId="290"/>
  </tableColumns>
  <tableStyleInfo name="TableStyleMedium2" showFirstColumn="0" showLastColumn="0" showRowStripes="0"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8256493-F114-427B-80A7-E90C9A6D4435}" name="Key_Vault_Key56" displayName="Key_Vault_Key56" ref="A85:E90" headerRowCount="0" totalsRowShown="0">
  <tableColumns count="5">
    <tableColumn id="1" xr3:uid="{EAE4CF05-5731-4C9C-8701-1EE3EAF63A23}" name="Column1" dataDxfId="289"/>
    <tableColumn id="2" xr3:uid="{8B5B8E57-65E2-434D-8580-43E43C4A1DBB}" name="Column2" dataDxfId="288"/>
    <tableColumn id="3" xr3:uid="{D23C3A91-7764-40D9-8CC8-37279F87C453}" name="Column3" dataDxfId="287"/>
    <tableColumn id="4" xr3:uid="{FE172237-A557-44FA-8FFE-929027C2E175}" name="Column4" dataDxfId="286"/>
    <tableColumn id="5" xr3:uid="{51297AF3-079A-4F16-809F-8B019CA29EC0}" name="Column5" dataDxfId="285"/>
  </tableColumns>
  <tableStyleInfo name="TableStyleMedium2" showFirstColumn="0" showLastColumn="0" showRowStripes="0"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CB6514F-2547-4DEB-B8C5-1F0957135336}" name="Disk_Encryption_Set57" displayName="Disk_Encryption_Set57" ref="A92:E95" headerRowCount="0" totalsRowShown="0">
  <tableColumns count="5">
    <tableColumn id="1" xr3:uid="{B93F8E03-78C2-4763-A144-68DCA528F8DA}" name="Column1" dataDxfId="284"/>
    <tableColumn id="2" xr3:uid="{5870BCFA-21D1-40C9-BEEB-C1AEDA2004E3}" name="Column2" dataDxfId="283"/>
    <tableColumn id="3" xr3:uid="{7345FD28-D63B-439F-81B5-6C6115F45C7F}" name="Column3" dataDxfId="282"/>
    <tableColumn id="4" xr3:uid="{B797A230-3318-4500-B6E8-DC3A92A2829F}" name="Column4" dataDxfId="281"/>
    <tableColumn id="5" xr3:uid="{712579BE-044A-473D-90E7-41F1C247B8CF}" name="Column5" dataDxfId="280"/>
  </tableColumns>
  <tableStyleInfo name="TableStyleMedium2" showFirstColumn="0" showLastColumn="0" showRowStripes="0"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3E0C4F0-0BFD-4CB9-9EB4-F542365B6E98}" name="Virtual_Machine59" displayName="Virtual_Machine59" ref="A97:E119" headerRowCount="0" totalsRowShown="0">
  <tableColumns count="5">
    <tableColumn id="1" xr3:uid="{C87F6712-DFF7-4732-A0FF-875FECF028DF}" name="Column1" dataDxfId="279"/>
    <tableColumn id="2" xr3:uid="{EF80805C-2A1E-4963-BE13-6D7EDD685023}" name="Column2" dataDxfId="278"/>
    <tableColumn id="3" xr3:uid="{2F6ED9C0-0D4A-46C2-9C97-4E67E111172A}" name="Column3" dataDxfId="277"/>
    <tableColumn id="4" xr3:uid="{FA9154C5-561D-40C7-993B-9703CC143030}" name="Column4" dataDxfId="276"/>
    <tableColumn id="5" xr3:uid="{7863227A-B29D-4B98-860E-D4192F6E1F6E}" name="Column5" dataDxfId="275"/>
  </tableColumns>
  <tableStyleInfo name="TableStyleMedium2" showFirstColumn="0" showLastColumn="0" showRowStripes="0"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71A2F77B-330E-4198-9F72-8989B899F704}" name="Virtual_Machine60" displayName="Virtual_Machine60" ref="A128:E150" headerRowCount="0" totalsRowShown="0">
  <tableColumns count="5">
    <tableColumn id="1" xr3:uid="{F011163D-DC91-4009-94DA-FA3DB7364A09}" name="Column1" dataDxfId="274"/>
    <tableColumn id="2" xr3:uid="{BBFD4D38-0CB0-4F48-A288-43A5A417D97C}" name="Column2" dataDxfId="273"/>
    <tableColumn id="3" xr3:uid="{0D2B4826-3A50-4704-966F-44ECCC9BB971}" name="Column3" dataDxfId="272"/>
    <tableColumn id="4" xr3:uid="{26F24ACC-B549-4178-B017-57AE65B23C56}" name="Column4" dataDxfId="271"/>
    <tableColumn id="5" xr3:uid="{51253E53-5725-48B2-87AE-321599E4C125}" name="Column5" dataDxfId="270"/>
  </tableColumns>
  <tableStyleInfo name="TableStyleMedium2" showFirstColumn="0" showLastColumn="0" showRowStripes="0"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A740A6C-2876-4C85-8B6F-F8406E8662A6}" name="Data_Disk62" displayName="Data_Disk62" ref="A152:E157" headerRowCount="0" totalsRowShown="0">
  <tableColumns count="5">
    <tableColumn id="1" xr3:uid="{9FEF50F3-F68E-47D2-B137-2E9C85EF60F3}" name="Column1" dataDxfId="269"/>
    <tableColumn id="2" xr3:uid="{D95B60FC-1D95-495A-B40C-33C4DE004D3C}" name="Column2" dataDxfId="268"/>
    <tableColumn id="3" xr3:uid="{79A1644A-7909-4EDE-A2FE-5B67940F7BF3}" name="Column3" dataDxfId="267"/>
    <tableColumn id="4" xr3:uid="{B6B27CFD-6AC7-4CEC-8A32-8A31FE313BD7}" name="Column4" dataDxfId="266"/>
    <tableColumn id="5" xr3:uid="{BABA8724-1575-407F-B453-F593C098449C}" name="Column5" dataDxfId="265"/>
  </tableColumns>
  <tableStyleInfo name="TableStyleMedium2" showFirstColumn="0" showLastColumn="0" showRowStripes="0"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E3CC0666-F619-4105-BDF0-86D56E68A8CB}" name="Data_Disk6163" displayName="Data_Disk6163" ref="A121:E126" headerRowCount="0" totalsRowShown="0">
  <tableColumns count="5">
    <tableColumn id="1" xr3:uid="{C65DE221-61DB-4970-8166-D46D0FA090B2}" name="Column1" dataDxfId="264"/>
    <tableColumn id="2" xr3:uid="{42DACF95-C870-4277-A50C-C9D7ABCF439D}" name="Column2" dataDxfId="263"/>
    <tableColumn id="3" xr3:uid="{44970B05-2A72-41B2-8EC0-70B56EC8B84A}" name="Column3" dataDxfId="262"/>
    <tableColumn id="4" xr3:uid="{65871885-3833-4E92-B072-CACD5967B8E9}" name="Column4" dataDxfId="261"/>
    <tableColumn id="5" xr3:uid="{28DA7D0E-1928-4A51-9E2E-7ABD962CE2D1}" name="Column5" dataDxfId="260"/>
  </tableColumns>
  <tableStyleInfo name="TableStyleMedium2" showFirstColumn="0" showLastColumn="0" showRowStripes="0"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582997-541A-4981-840A-4E52D196D5FC}" name="Virtual_Machine" displayName="Virtual_Machine" ref="A97:E119" headerRowCount="0" totalsRowShown="0">
  <tableColumns count="5">
    <tableColumn id="1" xr3:uid="{92B74362-DB87-444F-B006-310FA34C50C1}" name="Column1" dataDxfId="193"/>
    <tableColumn id="2" xr3:uid="{B0B4781A-95AC-4D8C-BC09-47E68C34FF9F}" name="Column2" dataDxfId="192"/>
    <tableColumn id="3" xr3:uid="{37977C36-45AD-40EF-B704-B06A954BA084}" name="Column3" dataDxfId="191"/>
    <tableColumn id="4" xr3:uid="{7EF818DF-866D-4B8F-91DF-07D1D78F3A00}" name="Column4" dataDxfId="190"/>
    <tableColumn id="5" xr3:uid="{2751CF7B-7EF9-40F4-9DBF-F226854A8658}" name="Column5" dataDxfId="189"/>
  </tableColumns>
  <tableStyleInfo name="TableStyleMedium2" showFirstColumn="0" showLastColumn="0" showRowStripes="0"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EC8A288-7AFB-43DF-B446-FDCAF019892B}" name="RDP_SSH_Access" displayName="RDP_SSH_Access" ref="A429:E432" headerRowCount="0" totalsRowShown="0">
  <tableColumns count="5">
    <tableColumn id="1" xr3:uid="{BB352EF8-99D3-4ED8-9FDE-DA39E5E12FA0}" name="Column1" dataDxfId="188"/>
    <tableColumn id="2" xr3:uid="{554A3287-5840-4211-889F-64903009A2C3}" name="Column2" dataDxfId="187"/>
    <tableColumn id="3" xr3:uid="{074AD215-C69A-41F8-98C1-95FDDDF00D89}" name="Column3" dataDxfId="186"/>
    <tableColumn id="4" xr3:uid="{2621DD9B-F1F5-4964-BE64-666BDA97E24C}" name="Column4" dataDxfId="185"/>
    <tableColumn id="5" xr3:uid="{555C8C97-E18E-499A-917D-58B9A957039D}" name="Column5" dataDxfId="184"/>
  </tableColumns>
  <tableStyleInfo name="TableStyleMedium2" showFirstColumn="0" showLastColumn="0" showRowStripes="0"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4CF594-5370-4988-8B00-4EBA64ED773F}" name="Application_Gateway" displayName="Application_Gateway" ref="A243:E257" headerRowCount="0" totalsRowShown="0">
  <tableColumns count="5">
    <tableColumn id="1" xr3:uid="{E6406B83-1A70-4ECB-BCF9-C337FEE31419}" name="Column1" dataDxfId="183"/>
    <tableColumn id="2" xr3:uid="{8EDE52D1-2250-4177-95B6-32D45386E4A2}" name="Column2" dataDxfId="182"/>
    <tableColumn id="3" xr3:uid="{24F9A0B5-99F1-4B3B-A78F-80FE90ADDC94}" name="Column3" dataDxfId="181"/>
    <tableColumn id="4" xr3:uid="{7AF9E77E-B1E8-487C-A592-62747094E2F7}" name="Column4" dataDxfId="180"/>
    <tableColumn id="5" xr3:uid="{B6745681-BA70-41A9-8150-5199B862AB45}" name="Column5" dataDxfId="179"/>
  </tableColumns>
  <tableStyleInfo name="TableStyleMedium2" showFirstColumn="0" showLastColumn="0" showRowStripes="0"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5F2CA3-C3C7-4412-BEBC-99B150CC300E}" name="Overview" displayName="Overview" ref="A2:E30" headerRowCount="0" totalsRowShown="0">
  <tableColumns count="5">
    <tableColumn id="1" xr3:uid="{FBA39433-25A2-481F-A417-0E70E2F967E0}" name="Column1" dataDxfId="178"/>
    <tableColumn id="2" xr3:uid="{2A431C50-09BA-4863-97CA-F964E8D80F25}" name="Column2" dataDxfId="177"/>
    <tableColumn id="3" xr3:uid="{A7E3DBB4-76AA-4A27-971C-CF91D02C175A}" name="Column3" dataDxfId="176"/>
    <tableColumn id="4" xr3:uid="{988225B5-9786-4857-93F4-EDE307211846}" name="Column4" dataDxfId="175"/>
    <tableColumn id="5" xr3:uid="{F0BE2E54-6AFF-40FB-B466-CDFC7BBB7227}" name="Column5" dataDxfId="174"/>
  </tableColumns>
  <tableStyleInfo name="TableStyleMedium2" showFirstColumn="0" showLastColumn="0" showRowStripes="0"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8B14F64-0E17-4A36-96D3-20D63C53A70C}" name="Application_Security_Group" displayName="Application_Security_Group" ref="A48:E50" headerRowCount="0" totalsRowShown="0">
  <tableColumns count="5">
    <tableColumn id="1" xr3:uid="{31BD9805-AE52-4F51-9B2C-A2DB0D1ACBB3}" name="Column1" dataDxfId="173"/>
    <tableColumn id="2" xr3:uid="{D18F94A2-91F7-4FEA-8DE3-349BA2547CF6}" name="Column2" dataDxfId="172"/>
    <tableColumn id="3" xr3:uid="{30BBB99A-24D5-43EE-9697-D8BFF4BB9891}" name="Column3" dataDxfId="171"/>
    <tableColumn id="4" xr3:uid="{851E132E-D9B6-48FE-AAF7-3FA9329C03E8}" name="Column4" dataDxfId="170"/>
    <tableColumn id="5" xr3:uid="{B4F4EBAC-DA26-4E64-AE7A-6ADA2EAD7EF0}" name="Column5" dataDxfId="169"/>
  </tableColumns>
  <tableStyleInfo name="TableStyleMedium2" showFirstColumn="0" showLastColumn="0" showRowStripes="0"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08CC4E1-6310-42F0-A60A-3710B67FB9A2}" name="Data_Disk" displayName="Data_Disk" ref="A121:E126" headerRowCount="0" totalsRowShown="0">
  <tableColumns count="5">
    <tableColumn id="1" xr3:uid="{2F6BF1F9-2BCF-4087-80C0-3B0846A959F5}" name="Column1" dataDxfId="168"/>
    <tableColumn id="2" xr3:uid="{C146E085-5C04-4D88-AEC0-E7E50F99A026}" name="Column2" dataDxfId="167"/>
    <tableColumn id="3" xr3:uid="{6A2F2462-6AD9-48AA-800D-2146D7E5B71B}" name="Column3" dataDxfId="166"/>
    <tableColumn id="4" xr3:uid="{6587353F-59EB-457A-84FF-55A5403B02ED}" name="Column4" dataDxfId="165"/>
    <tableColumn id="5" xr3:uid="{90485836-5E23-4F5A-9670-A8F356826847}" name="Column5" dataDxfId="164"/>
  </tableColumns>
  <tableStyleInfo name="TableStyleMedium2" showFirstColumn="0" showLastColumn="0" showRowStripes="0" showColumnStripes="1"/>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D52B4D1-6945-4476-969D-90FA3A820317}" name="MS_SQL_Database" displayName="MS_SQL_Database" ref="A388:E410" headerRowCount="0" totalsRowShown="0">
  <tableColumns count="5">
    <tableColumn id="1" xr3:uid="{969754C8-E681-4B64-98DE-A8D1321F8E41}" name="Column1" dataDxfId="163"/>
    <tableColumn id="2" xr3:uid="{17B94C4D-9730-4F5F-B3EF-559BB76417F8}" name="Column2" dataDxfId="162"/>
    <tableColumn id="3" xr3:uid="{E520C2B0-8265-42E2-A58E-2C590F49D1F0}" name="Column3" dataDxfId="161"/>
    <tableColumn id="4" xr3:uid="{C74868F2-8471-4286-95A1-C309723ABF78}" name="Column4" dataDxfId="160"/>
    <tableColumn id="5" xr3:uid="{EDFEEFFC-C235-4AAE-B836-0B08734B46AC}" name="Column5" dataDxfId="159"/>
  </tableColumns>
  <tableStyleInfo name="TableStyleMedium2" showFirstColumn="0" showLastColumn="0" showRowStripes="0" showColumnStripes="1"/>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7A2D35B-BCCE-46D3-A4E1-A23A14C1C276}" name="Resource_Group" displayName="Resource_Group" ref="A32:E36" headerRowCount="0" totalsRowShown="0">
  <tableColumns count="5">
    <tableColumn id="1" xr3:uid="{9575465A-0287-4D45-A156-8444A4EE8116}" name="Column1" dataDxfId="158"/>
    <tableColumn id="2" xr3:uid="{E404F356-57DB-4256-8FBB-0CA02347C0E5}" name="Column2" dataDxfId="157"/>
    <tableColumn id="3" xr3:uid="{398B2B02-9A10-452F-94AB-E31CBEECE35E}" name="Column3" dataDxfId="156"/>
    <tableColumn id="4" xr3:uid="{F39A3696-D2B3-41F2-8559-90B1EBCE6DE5}" name="Column4" dataDxfId="155"/>
    <tableColumn id="5" xr3:uid="{7284CDF9-F333-421C-B6B0-8FEE8E6DEFA6}" name="Column5" dataDxfId="154"/>
  </tableColumns>
  <tableStyleInfo name="TableStyleMedium2" showFirstColumn="0" showLastColumn="0" showRowStripes="0"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C960224-4DF5-4813-8274-30137CA50ECA}" name="MS_SQL_Managed_Instance" displayName="MS_SQL_Managed_Instance" ref="A412:E427" headerRowCount="0" totalsRowShown="0">
  <tableColumns count="5">
    <tableColumn id="1" xr3:uid="{A24D2324-8439-43E9-8F6D-36F5D7F095B2}" name="Column1" dataDxfId="153"/>
    <tableColumn id="2" xr3:uid="{2E6C9225-756A-4B46-9621-F606DCAD8D1E}" name="Column2" dataDxfId="152"/>
    <tableColumn id="3" xr3:uid="{E944A224-FD9A-48A5-920D-5849B70338CA}" name="Column3" dataDxfId="151"/>
    <tableColumn id="4" xr3:uid="{A17F5C62-D2F5-48E8-A271-D2CFAADEBFD5}" name="Column4" dataDxfId="150"/>
    <tableColumn id="5" xr3:uid="{DBED2247-DCAA-4556-B046-244C69DAA992}" name="Column5" dataDxfId="149"/>
  </tableColumns>
  <tableStyleInfo name="TableStyleMedium2" showFirstColumn="0" showLastColumn="0" showRowStripes="0"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7A4EFF8-412F-4A0D-A3A2-E9123543ECB9}" name="Subnet" displayName="Subnet" ref="A38:E46" headerRowCount="0" totalsRowShown="0">
  <tableColumns count="5">
    <tableColumn id="1" xr3:uid="{56A59250-95B9-466D-825B-65FB81FDB2C1}" name="Column1" dataDxfId="148"/>
    <tableColumn id="2" xr3:uid="{5B1CA748-E3CA-40F9-A7C3-C4CBD8DE9AB9}" name="Column2" dataDxfId="147"/>
    <tableColumn id="3" xr3:uid="{33F2CC13-847C-4111-84A9-52DA1F6391C0}" name="Column3" dataDxfId="146"/>
    <tableColumn id="4" xr3:uid="{72E47C31-0C65-4027-9BC9-15180EC5255B}" name="Column4" dataDxfId="145"/>
    <tableColumn id="5" xr3:uid="{DFEE45E5-3DB8-4784-8149-3621A242C329}" name="Column5" dataDxfId="144"/>
  </tableColumns>
  <tableStyleInfo name="TableStyleMedium2" showFirstColumn="0" showLastColumn="0" showRowStripes="0"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EE5D10B-FAC8-4137-9870-FB674265A80F}" name="Post_Deployment" displayName="Post_Deployment" ref="A434:E443" headerRowCount="0" totalsRowShown="0">
  <tableColumns count="5">
    <tableColumn id="1" xr3:uid="{15B72F17-023F-4325-AACE-CCE123982714}" name="Column1" dataDxfId="143"/>
    <tableColumn id="2" xr3:uid="{9761D2A2-1286-4062-A001-512AADE00CEC}" name="Column2" dataDxfId="142"/>
    <tableColumn id="3" xr3:uid="{F766082C-8D57-498A-98D9-0312B8B9B3C9}" name="Column3" dataDxfId="141"/>
    <tableColumn id="4" xr3:uid="{792D0CA3-C780-4CA4-AFAB-D1CCAC9D3719}" name="Column4" dataDxfId="140"/>
    <tableColumn id="5" xr3:uid="{ED4013DD-626D-4159-A7E1-837D5086CC58}" name="Column5" dataDxfId="139"/>
  </tableColumns>
  <tableStyleInfo name="TableStyleMedium2" showFirstColumn="0" showLastColumn="0" showRowStripes="0"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D73B363E-8E63-4049-863C-30B82886021A}" name="User_Assigned_Identity" displayName="User_Assigned_Identity" ref="A57:E60" headerRowCount="0" totalsRowShown="0">
  <tableColumns count="5">
    <tableColumn id="1" xr3:uid="{7DA32076-D8AD-4B58-BD94-186718829417}" name="Column1" dataDxfId="138"/>
    <tableColumn id="2" xr3:uid="{D60C2DCA-BCAC-4015-AA7E-4E9E191D7693}" name="Column2" dataDxfId="137"/>
    <tableColumn id="3" xr3:uid="{A2E2F798-AA64-43D0-A859-D199288846C9}" name="Column3" dataDxfId="136"/>
    <tableColumn id="4" xr3:uid="{E5828882-5BC0-4345-99B8-AAF62C2D8330}" name="Column4" dataDxfId="135"/>
    <tableColumn id="5" xr3:uid="{4E042497-99E2-435A-989F-E0F87BF8BAE4}" name="Column5" dataDxfId="134"/>
  </tableColumns>
  <tableStyleInfo name="TableStyleMedium2" showFirstColumn="0" showLastColumn="0" showRowStripes="0"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15691241-BA29-489A-84F3-F24C70666740}" name="Key_Vault" displayName="Key_Vault" ref="A71:E83" headerRowCount="0" totalsRowShown="0">
  <tableColumns count="5">
    <tableColumn id="1" xr3:uid="{8BBCC4C5-31F1-4FFA-9203-3C54E25CD33D}" name="Column1" dataDxfId="133"/>
    <tableColumn id="2" xr3:uid="{330D31F6-E5C7-425B-9FBE-076C4C14D6FA}" name="Column2" dataDxfId="132"/>
    <tableColumn id="3" xr3:uid="{71EEA8A2-CC6D-49F2-A1BE-8E696B89C101}" name="Column3" dataDxfId="131"/>
    <tableColumn id="4" xr3:uid="{C69FC04C-01A8-46D3-9E90-4CCE927457D9}" name="Column4" dataDxfId="130"/>
    <tableColumn id="5" xr3:uid="{389BE2EE-E350-4464-AD2C-7EB74C0E5CCB}" name="Column5" dataDxfId="129"/>
  </tableColumns>
  <tableStyleInfo name="TableStyleMedium2" showFirstColumn="0" showLastColumn="0" showRowStripes="0" showColumnStripes="1"/>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DCFB26B7-DF9D-44FA-AC7C-04BCA8962F6D}" name="Disk_Encryption_Set" displayName="Disk_Encryption_Set" ref="A92:E95" headerRowCount="0" totalsRowShown="0">
  <tableColumns count="5">
    <tableColumn id="1" xr3:uid="{DBBC32C2-1F1E-4CE3-AD6A-9D2A7102AF5A}" name="Column1" dataDxfId="128"/>
    <tableColumn id="2" xr3:uid="{784F2D94-995E-48E8-AD43-28E87FAA467C}" name="Column2" dataDxfId="127"/>
    <tableColumn id="3" xr3:uid="{D7F66501-A45F-4B04-94D3-1A0D19BE0AE5}" name="Column3" dataDxfId="126"/>
    <tableColumn id="4" xr3:uid="{1DD0BD78-45FC-4046-9880-90D494BD8C63}" name="Column4" dataDxfId="125"/>
    <tableColumn id="5" xr3:uid="{16EFE202-94D4-4E4B-89EC-730A92A1FAC6}" name="Column5" dataDxfId="124"/>
  </tableColumns>
  <tableStyleInfo name="TableStyleMedium2" showFirstColumn="0" showLastColumn="0" showRowStripes="0" showColumnStripes="1"/>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B063F0-3CB1-4301-A0E9-0CD5C6E9A484}" name="Key_Vault_Key" displayName="Key_Vault_Key" ref="A85:E90" headerRowCount="0" totalsRowShown="0">
  <tableColumns count="5">
    <tableColumn id="1" xr3:uid="{60A55CE8-3838-45CC-B7D5-99ACBD70A209}" name="Column1" dataDxfId="123"/>
    <tableColumn id="2" xr3:uid="{FE9DDB10-6859-4F40-A1A0-24A1F869099A}" name="Column2" dataDxfId="122"/>
    <tableColumn id="3" xr3:uid="{4ECB97D5-30F5-41AA-8363-C18C0316D691}" name="Column3" dataDxfId="121"/>
    <tableColumn id="4" xr3:uid="{A5E57523-B5C9-4243-89C1-D3B414983E58}" name="Column4" dataDxfId="120"/>
    <tableColumn id="5" xr3:uid="{AD5681D8-D020-4C7A-884F-06A9815D3370}" name="Column5" dataDxfId="119"/>
  </tableColumns>
  <tableStyleInfo name="TableStyleMedium2" showFirstColumn="0" showLastColumn="0" showRowStripes="0" showColumnStripes="1"/>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EBA13EC-C873-4450-A250-65472F48BDA7}" name="Private_Endpoint" displayName="Private_Endpoint" ref="A62:E69" headerRowCount="0" totalsRowShown="0">
  <tableColumns count="5">
    <tableColumn id="1" xr3:uid="{38ABBBE0-CDAF-4493-8F6C-EDF7AAA3BA1B}" name="Column1" dataDxfId="118"/>
    <tableColumn id="2" xr3:uid="{C46F7D17-346F-47FD-B764-DB9EA193349F}" name="Column2" dataDxfId="117"/>
    <tableColumn id="3" xr3:uid="{38FCE165-DA83-41A3-AA0E-BDF6181ECAAA}" name="Column3" dataDxfId="116"/>
    <tableColumn id="4" xr3:uid="{5FAD5257-5D41-4962-A221-6BF09D3AD445}" name="Column4" dataDxfId="115"/>
    <tableColumn id="5" xr3:uid="{1A569490-E2DF-4EA2-9622-AE0B80FBB792}" name="Column5" dataDxfId="114"/>
  </tableColumns>
  <tableStyleInfo name="TableStyleMedium2" showFirstColumn="0" showLastColumn="0" showRowStripes="0" showColumnStripes="1"/>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3E991D-A85E-4F18-97C7-97B0F75DD34D}" name="MS_SQL_Server" displayName="MS_SQL_Server" ref="A375:E385" headerRowCount="0" totalsRowShown="0">
  <tableColumns count="5">
    <tableColumn id="1" xr3:uid="{0894508D-07D0-42B7-AC3A-1EEA22192AA7}" name="Column1" dataDxfId="113"/>
    <tableColumn id="2" xr3:uid="{9A5D88C9-B93B-4E54-B433-E9C40A5BDE44}" name="Column2" dataDxfId="112"/>
    <tableColumn id="3" xr3:uid="{63171095-EE83-42DD-98CB-DB8C17EFF316}" name="Column3" dataDxfId="111"/>
    <tableColumn id="4" xr3:uid="{5DD53121-2F76-4B9F-91E0-86845522D7B0}" name="Column4" dataDxfId="110"/>
    <tableColumn id="5" xr3:uid="{D00B458E-2160-41BD-953F-9F8AF48A2FB7}" name="Column5" dataDxfId="109"/>
  </tableColumns>
  <tableStyleInfo name="TableStyleMedium2" showFirstColumn="0" showLastColumn="0" showRowStripes="0" showColumnStripes="1"/>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4B58C3-447D-47B1-8D8B-003A0790A23C}" name="AKS" displayName="AKS" ref="A145:E189" headerRowCount="0" totalsRowShown="0" headerRowDxfId="108" dataDxfId="107">
  <tableColumns count="5">
    <tableColumn id="1" xr3:uid="{3A0B1EB0-4256-4C1C-B1C2-2971C3FB68C6}" name="Column1" dataDxfId="106"/>
    <tableColumn id="2" xr3:uid="{F6D32677-2B72-4F4E-BBAB-D36BFE00A430}" name="Column2" dataDxfId="105"/>
    <tableColumn id="3" xr3:uid="{DC0FE615-2E00-49E2-9E22-2481757A43A4}" name="Column3" dataDxfId="104"/>
    <tableColumn id="4" xr3:uid="{3F131C87-1012-4CAC-B92A-295A4D9BCDFA}" name="Column4" dataDxfId="103"/>
    <tableColumn id="5" xr3:uid="{A9E86838-5679-4B23-B7C7-B4FF0B33BFCC}" name="Column5" headerRowDxfId="102" dataDxfId="101"/>
  </tableColumns>
  <tableStyleInfo name="TableStyleMedium2" showFirstColumn="0" showLastColumn="0" showRowStripes="0" showColumnStripes="1"/>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FEE91B-7E9B-4053-9B08-92F68C95F646}" name="AKS_Cluster_Node" displayName="AKS_Cluster_Node" ref="A212:E231" totalsRowShown="0" headerRowBorderDxfId="100" tableBorderDxfId="99">
  <autoFilter ref="A212:E231" xr:uid="{5EFEE91B-7E9B-4053-9B08-92F68C95F646}">
    <filterColumn colId="0" hiddenButton="1"/>
    <filterColumn colId="1" hiddenButton="1"/>
    <filterColumn colId="2" hiddenButton="1"/>
    <filterColumn colId="3" hiddenButton="1"/>
    <filterColumn colId="4" hiddenButton="1"/>
  </autoFilter>
  <tableColumns count="5">
    <tableColumn id="1" xr3:uid="{744675A9-40B9-4365-A2D0-13D0E6837B25}" name="Kubernetes Cluster Node Pools" dataDxfId="98"/>
    <tableColumn id="2" xr3:uid="{07CD9696-40B0-480D-88F4-F66D327BC33D}" name="Terraform Variable" dataDxfId="97"/>
    <tableColumn id="3" xr3:uid="{EA0F08E5-778E-4B19-B80D-919583A64F30}" name="Value" dataDxfId="96"/>
    <tableColumn id="4" xr3:uid="{C46F8734-5687-4A2D-AC80-1134F18621F8}" name="Existing" dataDxfId="95"/>
    <tableColumn id="5" xr3:uid="{845AC83D-7BF8-4B26-B0AC-9955763452A5}" name="Validation" dataDxfId="94"/>
  </tableColumns>
  <tableStyleInfo name="TableStyleMedium2" showFirstColumn="0" showLastColumn="0" showRowStripes="0" showColumnStripes="1"/>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F30ED2-0AA7-40C8-9C39-0CA1CA701040}" name="AKS_Default_Node" displayName="AKS_Default_Node" ref="A191:E210" totalsRowShown="0" headerRowBorderDxfId="93" tableBorderDxfId="92">
  <autoFilter ref="A191:E210" xr:uid="{61F30ED2-0AA7-40C8-9C39-0CA1CA701040}">
    <filterColumn colId="0" hiddenButton="1"/>
    <filterColumn colId="1" hiddenButton="1"/>
    <filterColumn colId="2" hiddenButton="1"/>
    <filterColumn colId="3" hiddenButton="1"/>
    <filterColumn colId="4" hiddenButton="1"/>
  </autoFilter>
  <tableColumns count="5">
    <tableColumn id="1" xr3:uid="{BB109B2B-9568-4C0D-ABCE-CE83B3A0E16C}" name="Kubernetes Default Node Pool" dataDxfId="91"/>
    <tableColumn id="2" xr3:uid="{09348CF9-A6CE-420B-A4A4-5793414864EE}" name="Terraform Variable" dataDxfId="90"/>
    <tableColumn id="3" xr3:uid="{BB1DCD6D-7476-4D77-A68A-86E590619833}" name="Value" dataDxfId="89"/>
    <tableColumn id="4" xr3:uid="{B53968B9-F655-46C9-87BA-EE1997D52D95}" name="Existing" dataDxfId="88"/>
    <tableColumn id="5" xr3:uid="{DD66DF99-6DF9-41DD-851E-3BFBA5BADF5D}" name="Validation" dataDxfId="87"/>
  </tableColumns>
  <tableStyleInfo name="TableStyleMedium2" showFirstColumn="0" showLastColumn="0" showRowStripes="0" showColumnStripes="1"/>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2CD5DA-8A91-44DD-AE45-3514AD67AF3A}" name="Storage_Account" displayName="Storage_Account" ref="A128:E136" totalsRowShown="0" headerRowDxfId="86" headerRowBorderDxfId="85" tableBorderDxfId="84">
  <autoFilter ref="A128:E136" xr:uid="{772CD5DA-8A91-44DD-AE45-3514AD67AF3A}">
    <filterColumn colId="0" hiddenButton="1"/>
    <filterColumn colId="1" hiddenButton="1"/>
    <filterColumn colId="2" hiddenButton="1"/>
    <filterColumn colId="3" hiddenButton="1"/>
    <filterColumn colId="4" hiddenButton="1"/>
  </autoFilter>
  <tableColumns count="5">
    <tableColumn id="1" xr3:uid="{7FD8F6AF-A017-40C9-A4A7-336B331B9984}" name="Storage Account" dataDxfId="83"/>
    <tableColumn id="2" xr3:uid="{C0E05B32-3DDC-4A70-A243-E4C3B29EAAE1}" name="Terraform Variable"/>
    <tableColumn id="3" xr3:uid="{56942CAE-6194-4B07-BC55-07F0A1D7A56C}" name="Value" dataDxfId="82"/>
    <tableColumn id="4" xr3:uid="{22242615-F99C-488F-A975-FA884CD9E011}" name="Existing" dataDxfId="81"/>
    <tableColumn id="5" xr3:uid="{03E616B2-0966-4455-A44B-5812E1483BA5}" name="Validation" dataDxfId="80"/>
  </tableColumns>
  <tableStyleInfo name="TableStyleMedium2" showFirstColumn="0" showLastColumn="0" showRowStripes="0" showColumnStripes="1"/>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1CD503D-8519-4162-861B-1C02ABEE22F8}" name="Network_Security_Rule" displayName="Network_Security_Rule" ref="A52:E55" headerRowCount="0" totalsRowShown="0">
  <tableColumns count="5">
    <tableColumn id="1" xr3:uid="{1EAFF65F-3A3E-43BE-95D8-9B2E95CABD42}" name="Column1" dataDxfId="79"/>
    <tableColumn id="2" xr3:uid="{DD1994F5-3C9D-4A4A-AB5C-7FFA6EFAF847}" name="Column2" dataDxfId="78"/>
    <tableColumn id="3" xr3:uid="{3BEE5430-2922-4BAE-A3AF-1E4CBBFBAB61}" name="Column3" dataDxfId="77"/>
    <tableColumn id="4" xr3:uid="{76C1AD3F-1DCB-450B-9E52-BE815948010B}" name="Column4" dataDxfId="76"/>
    <tableColumn id="5" xr3:uid="{1833407B-B491-412B-986B-F027B4B9BEAB}" name="Column5" dataDxfId="75"/>
  </tableColumns>
  <tableStyleInfo name="TableStyleMedium2" showFirstColumn="0" showLastColumn="0" showRowStripes="0" showColumnStripes="1"/>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0C27AEE-19D5-4C5C-A569-99FDFA1ACC55}" name="Storage_Share" displayName="Storage_Share" ref="A138:E143" headerRowCount="0" totalsRowShown="0">
  <tableColumns count="5">
    <tableColumn id="1" xr3:uid="{8E9DFCD6-F050-4F17-9E03-3BD6C3BB8470}" name="Column1" dataDxfId="74"/>
    <tableColumn id="2" xr3:uid="{50758BB0-7254-43B6-8B53-69E2DC6F02BE}" name="Column2" dataDxfId="73"/>
    <tableColumn id="3" xr3:uid="{4A0CC042-40EC-4DD8-85AA-76370BCC3324}" name="Column3" dataDxfId="72"/>
    <tableColumn id="4" xr3:uid="{659E26F6-5F42-4223-B1C1-FFC53D5C56D5}" name="Column4" dataDxfId="71"/>
    <tableColumn id="5" xr3:uid="{591DC845-F850-47C5-A24A-4FA9D1652993}" name="Column5" dataDxfId="70"/>
  </tableColumns>
  <tableStyleInfo name="TableStyleMedium2" showFirstColumn="0" showLastColumn="0" showRowStripes="0" showColumnStripes="1"/>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7585CF-D6F6-4F6E-B1E5-CE4D2472CBD1}" name="Application_Insights" displayName="Application_Insights" ref="A303:E315" headerRowCount="0" totalsRowShown="0">
  <tableColumns count="5">
    <tableColumn id="1" xr3:uid="{0C43999F-9446-4410-8CA0-D4EE6F7F7EEE}" name="Column1" dataDxfId="69"/>
    <tableColumn id="2" xr3:uid="{4AA2DCF8-689C-474F-A2D1-F1F217C0F326}" name="Column2" dataDxfId="68"/>
    <tableColumn id="3" xr3:uid="{0870C355-AB99-4CAF-8DF7-28C93FC31A1E}" name="Column3" dataDxfId="67"/>
    <tableColumn id="4" xr3:uid="{F8591752-BC19-4F99-B4AA-22DAEC32BACC}" name="Column4" dataDxfId="66"/>
    <tableColumn id="5" xr3:uid="{6AB22379-3978-4EC9-BC84-B92F4B286173}" name="Column5" dataDxfId="65"/>
  </tableColumns>
  <tableStyleInfo name="TableStyleMedium2" showFirstColumn="0" showLastColumn="0" showRowStripes="0" showColumnStripes="1"/>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435D1-0F4C-47D4-83FF-B041834AE85C}" name="Data_Collection_Rule" displayName="Data_Collection_Rule" ref="A317:E322" headerRowCount="0" totalsRowShown="0">
  <tableColumns count="5">
    <tableColumn id="1" xr3:uid="{84672E18-7F28-4C20-B9FE-061225319FD9}" name="Column1" dataDxfId="64"/>
    <tableColumn id="2" xr3:uid="{39DC446F-030C-477B-805A-949FC7D91E1D}" name="Column2" dataDxfId="63"/>
    <tableColumn id="3" xr3:uid="{F14EB6F6-63BF-4001-9446-07D6EBAB6F19}" name="Column3" dataDxfId="62"/>
    <tableColumn id="4" xr3:uid="{2FE16313-762E-407A-8969-FC7D372D3480}" name="Column4" dataDxfId="61"/>
    <tableColumn id="5" xr3:uid="{77072A7B-BF94-4979-BFEC-E4E650A2BCF5}" name="Column5" dataDxfId="60"/>
  </tableColumns>
  <tableStyleInfo name="TableStyleMedium2" showFirstColumn="0" showLastColumn="0" showRowStripes="0" showColumnStripes="1"/>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2C7C4B3-ED78-4B71-B5B8-8B29E04792AA}" name="Log_Analytics_Workspace" displayName="Log_Analytics_Workspace" ref="A324:E334" headerRowCount="0" totalsRowShown="0">
  <tableColumns count="5">
    <tableColumn id="1" xr3:uid="{12BB1D72-E3AC-4C64-9A29-37BDFFAF4881}" name="Column1" dataDxfId="59"/>
    <tableColumn id="2" xr3:uid="{450C9D25-CE48-4656-8F4F-1DEE32E87F02}" name="Column2" dataDxfId="58"/>
    <tableColumn id="3" xr3:uid="{BEF5A5E8-80F3-4C9E-A4E4-2445980568DD}" name="Column3" dataDxfId="57"/>
    <tableColumn id="4" xr3:uid="{5D20F1D4-784B-4AD6-82EB-EAC61007ACAA}" name="Column4" dataDxfId="56"/>
    <tableColumn id="5" xr3:uid="{81C5DE02-69DA-431B-BC8D-65A4F2BC12C8}" name="Column5" dataDxfId="55"/>
  </tableColumns>
  <tableStyleInfo name="TableStyleMedium2" showFirstColumn="0" showLastColumn="0" showRowStripes="0" showColumnStripes="1"/>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1703D43-91FB-474E-B678-EAD152598DAF}" name="Public_IP_Address" displayName="Public_IP_Address" ref="A352:E360" headerRowCount="0" totalsRowShown="0">
  <tableColumns count="5">
    <tableColumn id="1" xr3:uid="{8028D554-720A-4A48-B0AC-47D6D725E85D}" name="Column1" dataDxfId="54"/>
    <tableColumn id="2" xr3:uid="{5927C1CF-8D6B-44E4-B68F-4DD6AB87C646}" name="Column2" dataDxfId="53"/>
    <tableColumn id="3" xr3:uid="{0F63A2BB-FC6A-4E47-A9CA-EDC641D05FA5}" name="Column3" dataDxfId="52"/>
    <tableColumn id="4" xr3:uid="{3A0C4634-9699-4BD0-99DB-84F3DDA8133D}" name="Column4" dataDxfId="51"/>
    <tableColumn id="5" xr3:uid="{476553D6-E73F-4D77-B409-BD4997764D85}" name="Column5" dataDxfId="50"/>
  </tableColumns>
  <tableStyleInfo name="TableStyleMedium2" showFirstColumn="0" showLastColumn="0" showRowStripes="0" showColumnStripes="1"/>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3B7C9D-5CDA-4A22-BC28-F4269E9E5F20}" name="Load_Balancer" displayName="Load_Balancer" ref="A362:E373" headerRowCount="0" totalsRowShown="0">
  <tableColumns count="5">
    <tableColumn id="1" xr3:uid="{17748804-3BD6-4446-A4C1-AD8180F5B08A}" name="Column1" dataDxfId="49"/>
    <tableColumn id="2" xr3:uid="{4343FA98-15AC-4D40-AFB6-7A7CCE7E7882}" name="Column2" dataDxfId="48"/>
    <tableColumn id="3" xr3:uid="{FF306B2C-F47D-48D5-B6A6-A32496FCEA94}" name="Column3" dataDxfId="47"/>
    <tableColumn id="4" xr3:uid="{0E933B0D-4A3C-4803-8DD1-FB11B7FC6189}" name="Column4" dataDxfId="46"/>
    <tableColumn id="5" xr3:uid="{F95DFDB8-C5B3-47A6-95F6-E0A2186A363A}" name="Column5" dataDxfId="45"/>
  </tableColumns>
  <tableStyleInfo name="TableStyleMedium2" showFirstColumn="0" showLastColumn="0" showRowStripes="0" showColumnStripes="1"/>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AD43935-74A7-417B-B5EE-B289192E5134}" name="Azure_Managed_Workspace" displayName="Azure_Managed_Workspace" ref="A336:E338" headerRowCount="0" totalsRowShown="0">
  <tableColumns count="5">
    <tableColumn id="1" xr3:uid="{340E6683-931D-4177-B226-700088972898}" name="Column1" dataDxfId="44"/>
    <tableColumn id="2" xr3:uid="{37D5A938-CD61-455C-B39C-7C8D636CF4AC}" name="Column2" dataDxfId="43"/>
    <tableColumn id="3" xr3:uid="{0BB70BE5-B922-42B8-A487-79C068F8753A}" name="Column3" dataDxfId="42"/>
    <tableColumn id="4" xr3:uid="{913111F0-F9FF-4EB3-AA49-3CA9936AF4BF}" name="Column4" dataDxfId="41"/>
    <tableColumn id="5" xr3:uid="{840793BA-2AEF-4DCE-BDF5-8B9C77E26114}" name="Column5" dataDxfId="40"/>
  </tableColumns>
  <tableStyleInfo name="TableStyleMedium2" showFirstColumn="0" showLastColumn="0" showRowStripes="0" showColumnStripes="1"/>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E6260D6-F4D3-468E-A3D5-8DDD2877EB95}" name="Azure_Managed_Grafana" displayName="Azure_Managed_Grafana" ref="A340:E350" headerRowCount="0" totalsRowShown="0">
  <tableColumns count="5">
    <tableColumn id="1" xr3:uid="{7495BC1D-8896-47A6-8B6E-5E755F5F34FD}" name="Column1" dataDxfId="39"/>
    <tableColumn id="2" xr3:uid="{44671391-043C-4E08-9C27-67AC724C6871}" name="Column2" dataDxfId="38"/>
    <tableColumn id="3" xr3:uid="{2DA90151-2F46-491F-8463-DBB07C5AB0CF}" name="Column3" dataDxfId="37"/>
    <tableColumn id="4" xr3:uid="{B5DD6C6F-9301-42AB-BD53-1E2820372EAC}" name="Column4" dataDxfId="36"/>
    <tableColumn id="5" xr3:uid="{76A85D01-4656-41AB-946F-F280FE392A1A}" name="Column5" dataDxfId="35"/>
  </tableColumns>
  <tableStyleInfo name="TableStyleMedium2" showFirstColumn="0" showLastColumn="0" showRowStripes="0" showColumnStripes="1"/>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D8A9D7F-7D1F-4352-A493-21FF7D45962E}" name="Azure_Container_Registry" displayName="Azure_Container_Registry" ref="A233:E241" headerRowCount="0" totalsRowShown="0">
  <tableColumns count="5">
    <tableColumn id="1" xr3:uid="{4DA78866-E10D-411D-9053-C9A00F2314B3}" name="Column1" dataDxfId="34"/>
    <tableColumn id="2" xr3:uid="{BDAEC666-0D52-4BBE-A210-134706A374FF}" name="Column2" dataDxfId="33"/>
    <tableColumn id="3" xr3:uid="{BA44940A-B976-4395-9B75-F4060A2F1A81}" name="Column3" dataDxfId="32"/>
    <tableColumn id="4" xr3:uid="{FC5D1773-E618-44AB-9DBF-822ED9B0AF89}" name="Column4" dataDxfId="31"/>
    <tableColumn id="5" xr3:uid="{BB268982-774A-4A75-9F35-CAE78D3D8AA3}" name="Column5" dataDxfId="30"/>
  </tableColumns>
  <tableStyleInfo name="TableStyleMedium2" showFirstColumn="0" showLastColumn="0" showRowStripes="0" showColumnStripes="1"/>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4FCCC7-A223-4DCA-BFC7-AA7ADBF0D906}" name="App_Service_Plan" displayName="App_Service_Plan" ref="A268:E275" headerRowCount="0" totalsRowShown="0">
  <tableColumns count="5">
    <tableColumn id="1" xr3:uid="{A19EDCAF-0FAA-4651-A421-8F48748A544E}" name="Column1" dataDxfId="29"/>
    <tableColumn id="2" xr3:uid="{CBA63D47-4B33-488B-AA53-F0BA081D1E2D}" name="Column2" dataDxfId="28"/>
    <tableColumn id="3" xr3:uid="{E9FB28F8-026D-4DE1-B66E-D3AAEC19285C}" name="Column3" dataDxfId="27"/>
    <tableColumn id="4" xr3:uid="{CB9C2EDC-0C21-4312-A9AC-B02E0E9781BC}" name="Column4" dataDxfId="26"/>
    <tableColumn id="5" xr3:uid="{AB6CDB5F-6EBD-4817-9894-FDE4FCBC0B95}" name="Column5" dataDxfId="25"/>
  </tableColumns>
  <tableStyleInfo name="TableStyleMedium2" showFirstColumn="0" showLastColumn="0" showRowStripes="0" showColumnStripes="1"/>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C7286E8-DBA0-47DF-A892-96444ACB5AEC}" name="App_Service_Environment" displayName="App_Service_Environment" ref="A259:E266" headerRowCount="0" totalsRowShown="0">
  <tableColumns count="5">
    <tableColumn id="1" xr3:uid="{8E87BF53-496C-4160-BD64-6BA4F3514959}" name="Column1" dataDxfId="24"/>
    <tableColumn id="2" xr3:uid="{7FE1B17B-5107-4045-A58C-706022F2E210}" name="Column2" dataDxfId="23"/>
    <tableColumn id="3" xr3:uid="{D8057D1E-E450-4116-AB3C-886D5D669EF9}" name="Column3" dataDxfId="22"/>
    <tableColumn id="4" xr3:uid="{F017E237-EF7C-410F-B7E6-74C5D3BF714C}" name="Column4" dataDxfId="21"/>
    <tableColumn id="5" xr3:uid="{17E524C5-BDC4-40D5-B52F-017EA0184E8C}" name="Column5" dataDxfId="20"/>
  </tableColumns>
  <tableStyleInfo name="TableStyleMedium2" showFirstColumn="0" showLastColumn="0" showRowStripes="0" showColumnStripes="1"/>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8E49AC60-84A2-4779-AAD5-BB0F6675446F}" name="Windows_Web_App" displayName="Windows_Web_App" ref="A277:E284" headerRowCount="0" totalsRowShown="0">
  <tableColumns count="5">
    <tableColumn id="1" xr3:uid="{0C043705-4BEF-4AFC-A7F5-4965FD9C4F0A}" name="Column1" dataDxfId="19"/>
    <tableColumn id="2" xr3:uid="{6E90C2AB-AEF6-4DEF-B258-7FC54DE815D4}" name="Column2" dataDxfId="18"/>
    <tableColumn id="3" xr3:uid="{34D95E7C-EA44-4E66-A481-33C981601A8F}" name="Column3" dataDxfId="17"/>
    <tableColumn id="4" xr3:uid="{23CE5093-AE1F-417C-B9E3-553B2345BE0C}" name="Column4" dataDxfId="16"/>
    <tableColumn id="5" xr3:uid="{2D3B27A1-77FD-4A98-8F08-8B5E35A14171}" name="Column5" dataDxfId="15"/>
  </tableColumns>
  <tableStyleInfo name="TableStyleMedium2" showFirstColumn="0" showLastColumn="0" showRowStripes="0" showColumnStripes="1"/>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EA7A198-28BA-4215-A20A-D140FBD47258}" name="Azure_Cache_for_Redis" displayName="Azure_Cache_for_Redis" ref="A286:E301" headerRowCount="0" totalsRowShown="0">
  <tableColumns count="5">
    <tableColumn id="1" xr3:uid="{79A3EA28-EEB5-45CD-AC77-E10F0F5C52D4}" name="Column1" dataDxfId="14"/>
    <tableColumn id="2" xr3:uid="{2149E1C9-B282-4661-9B6E-B4E6598961E8}" name="Column2" dataDxfId="13"/>
    <tableColumn id="3" xr3:uid="{97CFB360-DC1D-4393-86B4-94318468B477}" name="Column3" dataDxfId="12"/>
    <tableColumn id="4" xr3:uid="{E8C00F55-836E-477A-8D01-4D4173A2E5FF}" name="Column4" dataDxfId="11"/>
    <tableColumn id="5" xr3:uid="{DA4B26B3-F45C-4311-A7C0-5A1F2F9D50F5}" name="Column5" dataDxfId="10"/>
  </tableColumns>
  <tableStyleInfo name="TableStyleMedium2" showFirstColumn="0" showLastColumn="0" showRowStripes="0" showColumnStripes="1"/>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1A48C28-BDA9-4606-98E1-E4CC8CF76992}" name="Table97" displayName="Table97" ref="A1:L6" totalsRowShown="0">
  <autoFilter ref="A1:L6" xr:uid="{D1A48C28-BDA9-4606-98E1-E4CC8CF76992}"/>
  <tableColumns count="12">
    <tableColumn id="1" xr3:uid="{66E52035-1C5D-49A3-B819-BCFEA1B1A767}" name="name"/>
    <tableColumn id="2" xr3:uid="{A6609E62-71E4-436E-9A0D-A00D81BF92AF}" name="priority"/>
    <tableColumn id="3" xr3:uid="{F95BCCCE-E3DA-4932-96E0-479847ED0332}" name="direction"/>
    <tableColumn id="4" xr3:uid="{E8AC8F6A-DABC-4623-B00E-3F7D89C6D805}" name="access"/>
    <tableColumn id="5" xr3:uid="{CA5D6FC4-F31E-4086-BFE8-1A3844D04C22}" name="protocol"/>
    <tableColumn id="6" xr3:uid="{7850152E-0719-4B2E-ACDF-C562ED0A7017}" name="source_port_range"/>
    <tableColumn id="7" xr3:uid="{A8E365E9-DF8C-43F1-8F9D-D6D2FCA76E81}" name="destination_port_ranges"/>
    <tableColumn id="8" xr3:uid="{ED46CA35-E46D-4F47-8D37-1A8D6062D5C7}" name="source_asg"/>
    <tableColumn id="9" xr3:uid="{D355688E-B34E-406C-B20F-59573A8C9D65}" name="destination_asg"/>
    <tableColumn id="10" xr3:uid="{252F9F19-6753-47BA-AF58-4FDEB62FE584}" name="source_address_prefixes"/>
    <tableColumn id="11" xr3:uid="{C928D1E8-E00B-435E-95C1-4D604862874B}" name="destination_address_prefixes"/>
    <tableColumn id="12" xr3:uid="{7B88BE10-296E-4AC2-9A14-418E548345FA}" name="description"/>
  </tableColumns>
  <tableStyleInfo name="TableStyleMedium2" showFirstColumn="0" showLastColumn="0" showRowStripes="0" showColumnStripes="1"/>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21A58C1-4AE1-4F38-BBD2-D35175CE8C57}" name="Table81929" displayName="Table81929" ref="A55:B67" totalsRowShown="0">
  <autoFilter ref="A55:B67" xr:uid="{C21A58C1-4AE1-4F38-BBD2-D35175CE8C57}"/>
  <tableColumns count="2">
    <tableColumn id="1" xr3:uid="{BA1BDC6F-74A2-4630-848F-AB9DB9A2B206}" name="probe"/>
    <tableColumn id="2" xr3:uid="{4A1D4FA0-5C73-4C3D-8465-21A1F70A5212}" name="Value" dataDxfId="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3531688-9EC5-462C-BA6E-5A68EC1B351E}" name="Table102131" displayName="Table102131" ref="A69:B78" totalsRowShown="0">
  <autoFilter ref="A69:B78" xr:uid="{A3531688-9EC5-462C-BA6E-5A68EC1B351E}"/>
  <tableColumns count="2">
    <tableColumn id="1" xr3:uid="{3F7010DB-5BDE-4103-8830-F7880CFA8C1E}" name="request_routing_rule"/>
    <tableColumn id="2" xr3:uid="{69889463-CD73-4FCD-872C-8FADF81F9187}" name="Value" dataDxfId="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92E405B-C1BC-40EC-9C08-8D8EA7607C94}" name="Table122333" displayName="Table122333" ref="A35:B37" totalsRowShown="0">
  <autoFilter ref="A35:B37" xr:uid="{C92E405B-C1BC-40EC-9C08-8D8EA7607C94}"/>
  <tableColumns count="2">
    <tableColumn id="1" xr3:uid="{B1A5AB36-92E3-49FE-BB6E-48C8091EE35A}" name="frontend_port"/>
    <tableColumn id="2" xr3:uid="{FBFD1093-244B-4AD5-A6C2-D651DAFECBA0}" name="Value"/>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0C3EB47-703A-46C2-8DCC-603225AD87D2}" name="Table142535" displayName="Table142535" ref="A27:B33" totalsRowShown="0">
  <autoFilter ref="A27:B33" xr:uid="{60C3EB47-703A-46C2-8DCC-603225AD87D2}"/>
  <tableColumns count="2">
    <tableColumn id="1" xr3:uid="{C17D1D0F-893D-4264-8354-79E0E4B08574}" name="frontend_ip_configuration"/>
    <tableColumn id="2" xr3:uid="{A6663001-9F74-4797-BA9E-2BF932A2ECBC}" name="Value" dataDxfId="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908EDE5-7DED-492F-8533-E11CF4F4C7E2}" name="Table152636" displayName="Table152636" ref="A6:B17" totalsRowShown="0">
  <autoFilter ref="A6:B17" xr:uid="{C908EDE5-7DED-492F-8533-E11CF4F4C7E2}"/>
  <tableColumns count="2">
    <tableColumn id="1" xr3:uid="{97678329-7A66-470D-9461-01E952F5354B}" name="backend_http_settings"/>
    <tableColumn id="2" xr3:uid="{CAEC5E90-93D1-4B43-8009-AEF3B89CAD69}" name="Value" dataDxfId="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3B65187-D36B-4E49-B2AB-4B795B6AF482}" name="Table162737" displayName="Table162737" ref="A1:B4" totalsRowShown="0">
  <autoFilter ref="A1:B4" xr:uid="{93B65187-D36B-4E49-B2AB-4B795B6AF482}"/>
  <tableColumns count="2">
    <tableColumn id="1" xr3:uid="{50DD0D0B-FA40-4BB4-9D95-5311C6DA0D19}" name="backend_address_pool"/>
    <tableColumn id="2" xr3:uid="{DE25E6B9-FB74-427E-8586-7D6D72DCD176}" name="Value" dataDxfId="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2015883-7FAA-4389-BB04-C3EB5D589DFC}" name="Table172838" displayName="Table172838" ref="A81:B84" totalsRowShown="0">
  <autoFilter ref="A81:B84" xr:uid="{B2015883-7FAA-4389-BB04-C3EB5D589DFC}"/>
  <tableColumns count="2">
    <tableColumn id="1" xr3:uid="{76E41B34-1EE5-415F-8B3B-1840C4E58414}" name="rewrite_rule_set"/>
    <tableColumn id="2" xr3:uid="{B642E2CD-12E9-499E-B7B3-3C138172860A}" name="Value" dataDxfId="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C662EF9-F633-44E6-9433-D9EA0AA7DD8B}" name="Table14253543" displayName="Table14253543" ref="A19:B25" totalsRowShown="0">
  <autoFilter ref="A19:B25" xr:uid="{5C662EF9-F633-44E6-9433-D9EA0AA7DD8B}"/>
  <tableColumns count="2">
    <tableColumn id="1" xr3:uid="{53656904-6B67-4AD0-A71F-6425D678456E}" name="frontend_ip_configuration"/>
    <tableColumn id="2" xr3:uid="{31A168C9-E5C2-495F-9637-6545DDE8F4D6}" name="Value" dataDxfId="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8ED366A-962D-4541-B90D-B02AC0754522}" name="Table11223244" displayName="Table11223244" ref="A43:B53" totalsRowShown="0">
  <autoFilter ref="A43:B53" xr:uid="{E8ED366A-962D-4541-B90D-B02AC0754522}"/>
  <tableColumns count="2">
    <tableColumn id="1" xr3:uid="{F5EEC849-20F8-4BAC-B565-9F25E2316270}" name="http_listener"/>
    <tableColumn id="2" xr3:uid="{3C5828CE-AA95-4983-8F03-5B410BA05EE1}" name="Value" dataDxfId="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27E0D2E2-477A-4CA0-8273-2D2A6E4AC1B3}" name="Table50" displayName="Table50" ref="A86:B99" totalsRowShown="0">
  <autoFilter ref="A86:B99" xr:uid="{27E0D2E2-477A-4CA0-8273-2D2A6E4AC1B3}"/>
  <tableColumns count="2">
    <tableColumn id="1" xr3:uid="{B018C8D7-6061-4373-8D78-0158C7B1937A}" name="url_path_map"/>
    <tableColumn id="2" xr3:uid="{E3C231EC-8CCD-4562-8BA3-18B826B9CFD3}" name="Valu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973F409-8244-4EFD-A01F-B384A23F1429}" name="Table12233350" displayName="Table12233350" ref="A39:B41" totalsRowShown="0">
  <autoFilter ref="A39:B41" xr:uid="{5973F409-8244-4EFD-A01F-B384A23F1429}"/>
  <tableColumns count="2">
    <tableColumn id="1" xr3:uid="{B2D3D2A4-789F-431E-A742-021B38B0A3F2}" name="frontend_port"/>
    <tableColumn id="2" xr3:uid="{F8B1C9EB-4E68-4650-8E88-DC25BC570D67}" name="Valu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924089-932B-48ED-887D-75358608537B}" name="NSG_29" displayName="NSG_29" ref="A1:B7" totalsRowShown="0" headerRowDxfId="1" tableBorderDxfId="0">
  <autoFilter ref="A1:B7" xr:uid="{EC924089-932B-48ED-887D-75358608537B}"/>
  <tableColumns count="2">
    <tableColumn id="1" xr3:uid="{5EFAC6DC-3A46-4633-8906-30981B1B03F2}" name="action"/>
    <tableColumn id="2" xr3:uid="{35032B72-ADF2-43CA-ABC3-DEFCD35FF51A}" name="ip_ran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5" dT="2024-03-12T17:21:32.81" personId="{010C3CFA-4CF2-4231-8DEF-140BA6239537}" id="{A44A8100-8DA2-4AF6-87EF-10F27D7D9773}">
    <text>Ask EA</text>
  </threadedComment>
  <threadedComment ref="A146" dT="2024-03-12T17:21:32.81" personId="{010C3CFA-4CF2-4231-8DEF-140BA6239537}" id="{EA512E3B-2470-40EF-98E6-B9EB81FC47A9}">
    <text>Ask EA</text>
  </threadedComment>
</ThreadedComments>
</file>

<file path=xl/threadedComments/threadedComment2.xml><?xml version="1.0" encoding="utf-8"?>
<ThreadedComments xmlns="http://schemas.microsoft.com/office/spreadsheetml/2018/threadedcomments" xmlns:x="http://schemas.openxmlformats.org/spreadsheetml/2006/main">
  <threadedComment ref="A115" dT="2024-03-12T17:21:32.81" personId="{010C3CFA-4CF2-4231-8DEF-140BA6239537}" id="{6631354F-69CC-41FF-BB51-19F1769183EB}">
    <text>Ask EA</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registry.terraform.io/providers/hashicorp/azurerm/latest/docs/data-sources/managed_disk" TargetMode="External"/><Relationship Id="rId18" Type="http://schemas.openxmlformats.org/officeDocument/2006/relationships/vmlDrawing" Target="../drawings/vmlDrawing1.vml"/><Relationship Id="rId26" Type="http://schemas.openxmlformats.org/officeDocument/2006/relationships/table" Target="../tables/table6.xml"/><Relationship Id="rId3" Type="http://schemas.openxmlformats.org/officeDocument/2006/relationships/hyperlink" Target="https://registry.terraform.io/providers/hashicorp/azurerm/latest/docs/resources/application_security_group" TargetMode="External"/><Relationship Id="rId21" Type="http://schemas.openxmlformats.org/officeDocument/2006/relationships/table" Target="../tables/table1.xml"/><Relationship Id="rId34" Type="http://schemas.openxmlformats.org/officeDocument/2006/relationships/table" Target="../tables/table14.xml"/><Relationship Id="rId7" Type="http://schemas.openxmlformats.org/officeDocument/2006/relationships/hyperlink" Target="https://registry.terraform.io/providers/hashicorp/azurerm/latest/docs/resources/private_endpoint" TargetMode="External"/><Relationship Id="rId12" Type="http://schemas.openxmlformats.org/officeDocument/2006/relationships/hyperlink" Target="https://registry.terraform.io/providers/hashicorp/azurerm/latest/docs/resources/virtual_machine" TargetMode="External"/><Relationship Id="rId17" Type="http://schemas.openxmlformats.org/officeDocument/2006/relationships/drawing" Target="../drawings/drawing1.xml"/><Relationship Id="rId25" Type="http://schemas.openxmlformats.org/officeDocument/2006/relationships/table" Target="../tables/table5.xml"/><Relationship Id="rId33" Type="http://schemas.openxmlformats.org/officeDocument/2006/relationships/table" Target="../tables/table13.xml"/><Relationship Id="rId2" Type="http://schemas.openxmlformats.org/officeDocument/2006/relationships/hyperlink" Target="https://registry.terraform.io/providers/hashicorp/azurerm/latest/docs/resources/application_security_group" TargetMode="External"/><Relationship Id="rId16" Type="http://schemas.openxmlformats.org/officeDocument/2006/relationships/printerSettings" Target="../printerSettings/printerSettings1.bin"/><Relationship Id="rId20" Type="http://schemas.openxmlformats.org/officeDocument/2006/relationships/ctrlProp" Target="../ctrlProps/ctrlProp2.xml"/><Relationship Id="rId29" Type="http://schemas.openxmlformats.org/officeDocument/2006/relationships/table" Target="../tables/table9.xml"/><Relationship Id="rId1" Type="http://schemas.openxmlformats.org/officeDocument/2006/relationships/hyperlink" Target="https://registry.terraform.io/providers/hashicorp/azurerm/latest/docs/resources/resource_group" TargetMode="External"/><Relationship Id="rId6" Type="http://schemas.openxmlformats.org/officeDocument/2006/relationships/hyperlink" Target="https://registry.terraform.io/providers/hashicorp/azurerm/latest/docs/resources/user_assigned_identity" TargetMode="External"/><Relationship Id="rId11" Type="http://schemas.openxmlformats.org/officeDocument/2006/relationships/hyperlink" Target="https://registry.terraform.io/providers/hashicorp/azurerm/latest/docs/resources/virtual_machine" TargetMode="External"/><Relationship Id="rId24" Type="http://schemas.openxmlformats.org/officeDocument/2006/relationships/table" Target="../tables/table4.xml"/><Relationship Id="rId32" Type="http://schemas.openxmlformats.org/officeDocument/2006/relationships/table" Target="../tables/table12.xml"/><Relationship Id="rId5" Type="http://schemas.openxmlformats.org/officeDocument/2006/relationships/hyperlink" Target="https://registry.terraform.io/providers/hashicorp/azurerm/latest/docs/resources/subnet" TargetMode="External"/><Relationship Id="rId15" Type="http://schemas.openxmlformats.org/officeDocument/2006/relationships/hyperlink" Target="https://lucid.app/lucidchart/f20058ac-4b33-4f6c-8aa6-61c0c891846b/edit?invitationId=inv_c2b85769-8a33-463f-8bf9-c88803878341&amp;page=0_0" TargetMode="External"/><Relationship Id="rId23" Type="http://schemas.openxmlformats.org/officeDocument/2006/relationships/table" Target="../tables/table3.xml"/><Relationship Id="rId28" Type="http://schemas.openxmlformats.org/officeDocument/2006/relationships/table" Target="../tables/table8.xml"/><Relationship Id="rId36" Type="http://schemas.microsoft.com/office/2017/10/relationships/threadedComment" Target="../threadedComments/threadedComment1.xml"/><Relationship Id="rId10" Type="http://schemas.openxmlformats.org/officeDocument/2006/relationships/hyperlink" Target="https://registry.terraform.io/providers/hashicorp/azurerm/latest/docs/resources/disk_encryption_set" TargetMode="External"/><Relationship Id="rId19" Type="http://schemas.openxmlformats.org/officeDocument/2006/relationships/ctrlProp" Target="../ctrlProps/ctrlProp1.xml"/><Relationship Id="rId31" Type="http://schemas.openxmlformats.org/officeDocument/2006/relationships/table" Target="../tables/table11.xml"/><Relationship Id="rId4" Type="http://schemas.openxmlformats.org/officeDocument/2006/relationships/hyperlink" Target="https://registry.terraform.io/providers/hashicorp/azurerm/latest/docs/resources/subnet" TargetMode="External"/><Relationship Id="rId9" Type="http://schemas.openxmlformats.org/officeDocument/2006/relationships/hyperlink" Target="https://registry.terraform.io/providers/hashicorp/azurerm/latest/docs/data-sources/key_vault_key" TargetMode="External"/><Relationship Id="rId14" Type="http://schemas.openxmlformats.org/officeDocument/2006/relationships/hyperlink" Target="https://registry.terraform.io/providers/hashicorp/azurerm/latest/docs/data-sources/managed_disk" TargetMode="External"/><Relationship Id="rId22" Type="http://schemas.openxmlformats.org/officeDocument/2006/relationships/table" Target="../tables/table2.xml"/><Relationship Id="rId27" Type="http://schemas.openxmlformats.org/officeDocument/2006/relationships/table" Target="../tables/table7.xml"/><Relationship Id="rId30" Type="http://schemas.openxmlformats.org/officeDocument/2006/relationships/table" Target="../tables/table10.xml"/><Relationship Id="rId35" Type="http://schemas.openxmlformats.org/officeDocument/2006/relationships/comments" Target="../comments1.xml"/><Relationship Id="rId8" Type="http://schemas.openxmlformats.org/officeDocument/2006/relationships/hyperlink" Target="https://registry.terraform.io/providers/hashicorp/azurerm/latest/docs/resources/key_vault"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registry.terraform.io/providers/hashicorp/azurerm/latest/docs/resources/private_endpoint" TargetMode="External"/><Relationship Id="rId18" Type="http://schemas.openxmlformats.org/officeDocument/2006/relationships/hyperlink" Target="https://registry.terraform.io/providers/hashicorp/azurerm/latest/docs/data-sources/managed_disk" TargetMode="External"/><Relationship Id="rId26" Type="http://schemas.openxmlformats.org/officeDocument/2006/relationships/table" Target="../tables/table17.xml"/><Relationship Id="rId39" Type="http://schemas.openxmlformats.org/officeDocument/2006/relationships/table" Target="../tables/table30.xml"/><Relationship Id="rId21" Type="http://schemas.openxmlformats.org/officeDocument/2006/relationships/hyperlink" Target="https://registry.terraform.io/providers/hashicorp/azurerm/latest/docs/resources/mssql_database" TargetMode="External"/><Relationship Id="rId34" Type="http://schemas.openxmlformats.org/officeDocument/2006/relationships/table" Target="../tables/table25.xml"/><Relationship Id="rId42" Type="http://schemas.openxmlformats.org/officeDocument/2006/relationships/table" Target="../tables/table33.xml"/><Relationship Id="rId47" Type="http://schemas.openxmlformats.org/officeDocument/2006/relationships/table" Target="../tables/table38.xml"/><Relationship Id="rId50" Type="http://schemas.openxmlformats.org/officeDocument/2006/relationships/table" Target="../tables/table41.xml"/><Relationship Id="rId55" Type="http://schemas.openxmlformats.org/officeDocument/2006/relationships/table" Target="../tables/table46.xml"/><Relationship Id="rId7" Type="http://schemas.openxmlformats.org/officeDocument/2006/relationships/hyperlink" Target="https://myit.westernalliancebancorp.com/sp?id=sc_cat_item&amp;sys_id=027a02b9972571900ad6d2b00153aff9&amp;sysparm_category=a4bde84adb17ab002427755a8c961979&amp;catalog_id=-1" TargetMode="External"/><Relationship Id="rId2" Type="http://schemas.openxmlformats.org/officeDocument/2006/relationships/hyperlink" Target="https://registry.terraform.io/providers/hashicorp/azurerm/latest/docs/resources/subnet" TargetMode="External"/><Relationship Id="rId16" Type="http://schemas.openxmlformats.org/officeDocument/2006/relationships/hyperlink" Target="https://registry.terraform.io/providers/hashicorp/azurerm/latest/docs/data-sources/key_vault_key" TargetMode="External"/><Relationship Id="rId29" Type="http://schemas.openxmlformats.org/officeDocument/2006/relationships/table" Target="../tables/table20.xml"/><Relationship Id="rId11" Type="http://schemas.openxmlformats.org/officeDocument/2006/relationships/hyperlink" Target="https://registry.terraform.io/providers/hashicorp/azurerm/latest/docs/resources/network_security_rule.html" TargetMode="External"/><Relationship Id="rId24" Type="http://schemas.openxmlformats.org/officeDocument/2006/relationships/table" Target="../tables/table15.xml"/><Relationship Id="rId32" Type="http://schemas.openxmlformats.org/officeDocument/2006/relationships/table" Target="../tables/table23.xml"/><Relationship Id="rId37" Type="http://schemas.openxmlformats.org/officeDocument/2006/relationships/table" Target="../tables/table28.xml"/><Relationship Id="rId40" Type="http://schemas.openxmlformats.org/officeDocument/2006/relationships/table" Target="../tables/table31.xml"/><Relationship Id="rId45" Type="http://schemas.openxmlformats.org/officeDocument/2006/relationships/table" Target="../tables/table36.xml"/><Relationship Id="rId53" Type="http://schemas.openxmlformats.org/officeDocument/2006/relationships/table" Target="../tables/table44.xml"/><Relationship Id="rId58" Type="http://schemas.openxmlformats.org/officeDocument/2006/relationships/table" Target="../tables/table49.xml"/><Relationship Id="rId5" Type="http://schemas.openxmlformats.org/officeDocument/2006/relationships/hyperlink" Target="https://myit.westernalliancebancorp.com/sp?id=sc_cat_item_guide&amp;sys_id=2572439e973e21100ad6d2b00153af6c&amp;sysparm_category=a4bde84adb17ab002427755a8c961979&amp;catalog_id=-1" TargetMode="External"/><Relationship Id="rId19" Type="http://schemas.openxmlformats.org/officeDocument/2006/relationships/hyperlink" Target="https://registry.terraform.io/providers/hashicorp/azurerm/latest/docs/resources/storage_account" TargetMode="External"/><Relationship Id="rId4" Type="http://schemas.openxmlformats.org/officeDocument/2006/relationships/hyperlink" Target="https://registry.terraform.io/providers/hashicorp/azurerm/latest/docs/resources/application_gateway" TargetMode="External"/><Relationship Id="rId9" Type="http://schemas.openxmlformats.org/officeDocument/2006/relationships/hyperlink" Target="https://az-vm-image.info/?cmd=--all+--publisher+center-for-internet-security-inc" TargetMode="External"/><Relationship Id="rId14" Type="http://schemas.openxmlformats.org/officeDocument/2006/relationships/hyperlink" Target="https://registry.terraform.io/providers/hashicorp/azurerm/latest/docs/resources/key_vault" TargetMode="External"/><Relationship Id="rId22" Type="http://schemas.openxmlformats.org/officeDocument/2006/relationships/printerSettings" Target="../printerSettings/printerSettings2.bin"/><Relationship Id="rId27" Type="http://schemas.openxmlformats.org/officeDocument/2006/relationships/table" Target="../tables/table18.xml"/><Relationship Id="rId30" Type="http://schemas.openxmlformats.org/officeDocument/2006/relationships/table" Target="../tables/table21.xml"/><Relationship Id="rId35" Type="http://schemas.openxmlformats.org/officeDocument/2006/relationships/table" Target="../tables/table26.xml"/><Relationship Id="rId43" Type="http://schemas.openxmlformats.org/officeDocument/2006/relationships/table" Target="../tables/table34.xml"/><Relationship Id="rId48" Type="http://schemas.openxmlformats.org/officeDocument/2006/relationships/table" Target="../tables/table39.xml"/><Relationship Id="rId56" Type="http://schemas.openxmlformats.org/officeDocument/2006/relationships/table" Target="../tables/table47.xml"/><Relationship Id="rId8" Type="http://schemas.openxmlformats.org/officeDocument/2006/relationships/hyperlink" Target="https://learn.microsoft.com/en-us/azure/private-link/private-endpoint-overview" TargetMode="External"/><Relationship Id="rId51" Type="http://schemas.openxmlformats.org/officeDocument/2006/relationships/table" Target="../tables/table42.xml"/><Relationship Id="rId3" Type="http://schemas.openxmlformats.org/officeDocument/2006/relationships/hyperlink" Target="https://registry.terraform.io/providers/hashicorp/azurerm/latest/docs/resources/virtual_machine" TargetMode="External"/><Relationship Id="rId12" Type="http://schemas.openxmlformats.org/officeDocument/2006/relationships/hyperlink" Target="https://registry.terraform.io/providers/hashicorp/azurerm/latest/docs/resources/user_assigned_identity" TargetMode="External"/><Relationship Id="rId17" Type="http://schemas.openxmlformats.org/officeDocument/2006/relationships/hyperlink" Target="https://registry.terraform.io/providers/hashicorp/azurerm/latest/docs/resources/disk_encryption_set" TargetMode="External"/><Relationship Id="rId25" Type="http://schemas.openxmlformats.org/officeDocument/2006/relationships/table" Target="../tables/table16.xml"/><Relationship Id="rId33" Type="http://schemas.openxmlformats.org/officeDocument/2006/relationships/table" Target="../tables/table24.xml"/><Relationship Id="rId38" Type="http://schemas.openxmlformats.org/officeDocument/2006/relationships/table" Target="../tables/table29.xml"/><Relationship Id="rId46" Type="http://schemas.openxmlformats.org/officeDocument/2006/relationships/table" Target="../tables/table37.xml"/><Relationship Id="rId59" Type="http://schemas.openxmlformats.org/officeDocument/2006/relationships/comments" Target="../comments2.xml"/><Relationship Id="rId20" Type="http://schemas.openxmlformats.org/officeDocument/2006/relationships/hyperlink" Target="https://registry.terraform.io/providers/hashicorp/azurerm/latest/docs/resources/storage_share" TargetMode="External"/><Relationship Id="rId41" Type="http://schemas.openxmlformats.org/officeDocument/2006/relationships/table" Target="../tables/table32.xml"/><Relationship Id="rId54" Type="http://schemas.openxmlformats.org/officeDocument/2006/relationships/table" Target="../tables/table45.xml"/><Relationship Id="rId1" Type="http://schemas.openxmlformats.org/officeDocument/2006/relationships/hyperlink" Target="https://registry.terraform.io/providers/hashicorp/azurerm/latest/docs/resources/resource_group" TargetMode="External"/><Relationship Id="rId6" Type="http://schemas.openxmlformats.org/officeDocument/2006/relationships/hyperlink" Target="https://myit.westernalliancebancorp.com/sp?id=sc_cat_item&amp;sys_id=4903b12edbd73c10818dfe1b68961961&amp;sysparm_category=a4bde84adb17ab002427755a8c961979&amp;catalog_id=-1" TargetMode="External"/><Relationship Id="rId15" Type="http://schemas.openxmlformats.org/officeDocument/2006/relationships/hyperlink" Target="https://registry.terraform.io/providers/hashicorp/azurerm/latest/docs/resources/application_security_group" TargetMode="External"/><Relationship Id="rId23" Type="http://schemas.openxmlformats.org/officeDocument/2006/relationships/vmlDrawing" Target="../drawings/vmlDrawing2.vml"/><Relationship Id="rId28" Type="http://schemas.openxmlformats.org/officeDocument/2006/relationships/table" Target="../tables/table19.xml"/><Relationship Id="rId36" Type="http://schemas.openxmlformats.org/officeDocument/2006/relationships/table" Target="../tables/table27.xml"/><Relationship Id="rId49" Type="http://schemas.openxmlformats.org/officeDocument/2006/relationships/table" Target="../tables/table40.xml"/><Relationship Id="rId57" Type="http://schemas.openxmlformats.org/officeDocument/2006/relationships/table" Target="../tables/table48.xml"/><Relationship Id="rId10" Type="http://schemas.openxmlformats.org/officeDocument/2006/relationships/hyperlink" Target="https://registry.terraform.io/providers/hashicorp/azurerm/latest/docs/resources/virtual_machine" TargetMode="External"/><Relationship Id="rId31" Type="http://schemas.openxmlformats.org/officeDocument/2006/relationships/table" Target="../tables/table22.xml"/><Relationship Id="rId44" Type="http://schemas.openxmlformats.org/officeDocument/2006/relationships/table" Target="../tables/table35.xml"/><Relationship Id="rId52" Type="http://schemas.openxmlformats.org/officeDocument/2006/relationships/table" Target="../tables/table43.xml"/><Relationship Id="rId60"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8.xml"/><Relationship Id="rId3" Type="http://schemas.openxmlformats.org/officeDocument/2006/relationships/table" Target="../tables/table53.xml"/><Relationship Id="rId7" Type="http://schemas.openxmlformats.org/officeDocument/2006/relationships/table" Target="../tables/table57.xml"/><Relationship Id="rId2" Type="http://schemas.openxmlformats.org/officeDocument/2006/relationships/table" Target="../tables/table52.xml"/><Relationship Id="rId1" Type="http://schemas.openxmlformats.org/officeDocument/2006/relationships/table" Target="../tables/table51.xml"/><Relationship Id="rId6" Type="http://schemas.openxmlformats.org/officeDocument/2006/relationships/table" Target="../tables/table56.xml"/><Relationship Id="rId11" Type="http://schemas.openxmlformats.org/officeDocument/2006/relationships/table" Target="../tables/table61.xml"/><Relationship Id="rId5" Type="http://schemas.openxmlformats.org/officeDocument/2006/relationships/table" Target="../tables/table55.xml"/><Relationship Id="rId10" Type="http://schemas.openxmlformats.org/officeDocument/2006/relationships/table" Target="../tables/table60.xml"/><Relationship Id="rId4" Type="http://schemas.openxmlformats.org/officeDocument/2006/relationships/table" Target="../tables/table54.xml"/><Relationship Id="rId9" Type="http://schemas.openxmlformats.org/officeDocument/2006/relationships/table" Target="../tables/table5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0EC76-C0D5-4855-87E1-9263D8EB36D0}">
  <sheetPr codeName="Sheet4"/>
  <dimension ref="A1:P157"/>
  <sheetViews>
    <sheetView tabSelected="1" topLeftCell="A4" zoomScale="115" zoomScaleNormal="115" workbookViewId="0">
      <selection activeCell="F132" sqref="F132"/>
    </sheetView>
  </sheetViews>
  <sheetFormatPr defaultRowHeight="14.5" x14ac:dyDescent="0.35"/>
  <cols>
    <col min="1" max="1" width="27.81640625" customWidth="1"/>
    <col min="2" max="2" width="28.453125" customWidth="1"/>
    <col min="3" max="3" width="116.7265625" customWidth="1"/>
    <col min="5" max="5" width="10.1796875" bestFit="1" customWidth="1"/>
  </cols>
  <sheetData>
    <row r="1" spans="1:16" ht="17.25" customHeight="1" thickBot="1" x14ac:dyDescent="0.4">
      <c r="A1" s="13" t="s">
        <v>0</v>
      </c>
      <c r="C1" s="110" t="s">
        <v>1</v>
      </c>
      <c r="D1" s="110"/>
      <c r="E1" s="110"/>
      <c r="F1" s="110"/>
      <c r="G1" s="110"/>
      <c r="H1" s="110"/>
      <c r="J1" s="110" t="s">
        <v>2</v>
      </c>
      <c r="K1" s="110"/>
      <c r="L1" s="110"/>
      <c r="M1" s="110"/>
      <c r="N1" s="110"/>
      <c r="O1" s="110"/>
      <c r="P1" s="110"/>
    </row>
    <row r="2" spans="1:16" ht="15.5" thickTop="1" thickBot="1" x14ac:dyDescent="0.4">
      <c r="A2" s="10" t="s">
        <v>3</v>
      </c>
      <c r="B2" s="11" t="s">
        <v>4</v>
      </c>
      <c r="C2" s="12" t="s">
        <v>5</v>
      </c>
      <c r="D2" s="11" t="s">
        <v>6</v>
      </c>
      <c r="E2" s="11" t="s">
        <v>7</v>
      </c>
    </row>
    <row r="3" spans="1:16" ht="15" thickTop="1" x14ac:dyDescent="0.35">
      <c r="A3" s="2" t="s">
        <v>8</v>
      </c>
      <c r="B3" s="1"/>
      <c r="C3" s="8" t="s">
        <v>9</v>
      </c>
      <c r="D3" s="1"/>
      <c r="E3" s="1"/>
    </row>
    <row r="4" spans="1:16" x14ac:dyDescent="0.35">
      <c r="A4" s="2" t="s">
        <v>10</v>
      </c>
      <c r="B4" s="1"/>
      <c r="C4" s="8" t="s">
        <v>11</v>
      </c>
      <c r="D4" s="1"/>
      <c r="E4" s="1"/>
    </row>
    <row r="5" spans="1:16" ht="58" x14ac:dyDescent="0.35">
      <c r="A5" s="2" t="s">
        <v>12</v>
      </c>
      <c r="C5" s="19" t="s">
        <v>13</v>
      </c>
      <c r="D5" s="1"/>
      <c r="E5" s="1"/>
    </row>
    <row r="6" spans="1:16" ht="17.5" x14ac:dyDescent="0.45">
      <c r="A6" s="2" t="s">
        <v>14</v>
      </c>
      <c r="C6" s="107" t="s">
        <v>15</v>
      </c>
      <c r="D6" s="1"/>
      <c r="E6" s="1"/>
    </row>
    <row r="7" spans="1:16" x14ac:dyDescent="0.35">
      <c r="A7" s="2" t="s">
        <v>16</v>
      </c>
      <c r="C7" s="8" t="s">
        <v>17</v>
      </c>
      <c r="D7" s="1"/>
      <c r="E7" s="1"/>
    </row>
    <row r="8" spans="1:16" x14ac:dyDescent="0.35">
      <c r="A8" s="2" t="s">
        <v>18</v>
      </c>
      <c r="C8" s="8" t="s">
        <v>17</v>
      </c>
      <c r="D8" s="1"/>
      <c r="E8" s="1"/>
    </row>
    <row r="9" spans="1:16" x14ac:dyDescent="0.35">
      <c r="A9" s="2" t="s">
        <v>19</v>
      </c>
      <c r="C9" s="8" t="s">
        <v>17</v>
      </c>
      <c r="D9" s="1"/>
      <c r="E9" s="1"/>
    </row>
    <row r="10" spans="1:16" x14ac:dyDescent="0.35">
      <c r="A10" s="24" t="s">
        <v>20</v>
      </c>
      <c r="B10" s="1"/>
      <c r="C10" s="8"/>
      <c r="D10" s="1"/>
      <c r="E10" s="1"/>
    </row>
    <row r="11" spans="1:16" x14ac:dyDescent="0.35">
      <c r="A11" s="2" t="s">
        <v>21</v>
      </c>
      <c r="B11" s="1"/>
      <c r="C11" s="19" t="s">
        <v>22</v>
      </c>
      <c r="D11" s="1"/>
      <c r="E11" s="1"/>
    </row>
    <row r="12" spans="1:16" x14ac:dyDescent="0.35">
      <c r="A12" s="2" t="s">
        <v>23</v>
      </c>
      <c r="B12" s="1"/>
      <c r="C12" s="109" t="s">
        <v>24</v>
      </c>
      <c r="D12" s="1"/>
      <c r="E12" s="1"/>
    </row>
    <row r="13" spans="1:16" x14ac:dyDescent="0.35">
      <c r="A13" s="2" t="s">
        <v>25</v>
      </c>
      <c r="B13" s="1"/>
      <c r="C13" s="8" t="s">
        <v>26</v>
      </c>
      <c r="D13" s="1"/>
      <c r="E13" s="1"/>
    </row>
    <row r="14" spans="1:16" x14ac:dyDescent="0.35">
      <c r="A14" s="2" t="s">
        <v>27</v>
      </c>
      <c r="B14" s="1"/>
      <c r="C14" s="8" t="s">
        <v>28</v>
      </c>
      <c r="D14" s="1"/>
      <c r="E14" s="1"/>
    </row>
    <row r="15" spans="1:16" x14ac:dyDescent="0.35">
      <c r="A15" s="2" t="s">
        <v>29</v>
      </c>
      <c r="B15" s="1"/>
      <c r="C15" s="8" t="s">
        <v>28</v>
      </c>
      <c r="D15" s="1"/>
      <c r="E15" s="1"/>
    </row>
    <row r="16" spans="1:16" ht="29" x14ac:dyDescent="0.35">
      <c r="A16" s="2" t="s">
        <v>30</v>
      </c>
      <c r="B16" s="1"/>
      <c r="C16" s="8" t="s">
        <v>28</v>
      </c>
      <c r="D16" s="1"/>
      <c r="E16" s="1"/>
    </row>
    <row r="17" spans="1:5" ht="29" x14ac:dyDescent="0.35">
      <c r="A17" s="2" t="s">
        <v>31</v>
      </c>
      <c r="B17" s="1"/>
      <c r="C17" s="8" t="s">
        <v>32</v>
      </c>
      <c r="D17" s="1"/>
      <c r="E17" s="1"/>
    </row>
    <row r="18" spans="1:5" x14ac:dyDescent="0.35">
      <c r="A18" s="2" t="s">
        <v>33</v>
      </c>
      <c r="B18" s="1"/>
      <c r="C18" s="8" t="s">
        <v>28</v>
      </c>
      <c r="D18" s="1"/>
      <c r="E18" s="1"/>
    </row>
    <row r="19" spans="1:5" x14ac:dyDescent="0.35">
      <c r="A19" s="2" t="s">
        <v>34</v>
      </c>
      <c r="B19" s="5" t="s">
        <v>35</v>
      </c>
      <c r="C19" s="8" t="s">
        <v>9</v>
      </c>
      <c r="D19" s="1"/>
      <c r="E19" s="1"/>
    </row>
    <row r="20" spans="1:5" x14ac:dyDescent="0.35">
      <c r="A20" s="2" t="s">
        <v>36</v>
      </c>
      <c r="B20" s="5" t="s">
        <v>37</v>
      </c>
      <c r="C20" s="8" t="s">
        <v>38</v>
      </c>
      <c r="D20" s="1"/>
      <c r="E20" s="1"/>
    </row>
    <row r="21" spans="1:5" x14ac:dyDescent="0.35">
      <c r="A21" s="2" t="s">
        <v>39</v>
      </c>
      <c r="B21" s="5" t="s">
        <v>40</v>
      </c>
      <c r="C21" s="8" t="s">
        <v>41</v>
      </c>
      <c r="D21" s="1"/>
      <c r="E21" s="1"/>
    </row>
    <row r="22" spans="1:5" x14ac:dyDescent="0.35">
      <c r="A22" s="2" t="s">
        <v>42</v>
      </c>
      <c r="B22" s="5" t="s">
        <v>43</v>
      </c>
      <c r="C22" s="8" t="s">
        <v>44</v>
      </c>
      <c r="D22" s="1"/>
      <c r="E22" s="1"/>
    </row>
    <row r="23" spans="1:5" x14ac:dyDescent="0.35">
      <c r="A23" s="2" t="s">
        <v>45</v>
      </c>
      <c r="B23" s="5" t="s">
        <v>46</v>
      </c>
      <c r="C23" s="8" t="s">
        <v>28</v>
      </c>
      <c r="D23" s="1"/>
      <c r="E23" s="1"/>
    </row>
    <row r="24" spans="1:5" ht="15.5" x14ac:dyDescent="0.35">
      <c r="A24" s="2" t="s">
        <v>47</v>
      </c>
      <c r="B24" s="5" t="s">
        <v>48</v>
      </c>
      <c r="C24" s="108">
        <v>55410</v>
      </c>
      <c r="D24" s="1"/>
      <c r="E24" s="1"/>
    </row>
    <row r="25" spans="1:5" x14ac:dyDescent="0.35">
      <c r="A25" s="2" t="s">
        <v>49</v>
      </c>
      <c r="B25" s="5" t="s">
        <v>50</v>
      </c>
      <c r="C25" s="8" t="s">
        <v>51</v>
      </c>
      <c r="D25" s="1"/>
      <c r="E25" s="1"/>
    </row>
    <row r="26" spans="1:5" x14ac:dyDescent="0.35">
      <c r="A26" s="2" t="s">
        <v>52</v>
      </c>
      <c r="B26" s="53" t="s">
        <v>53</v>
      </c>
      <c r="C26" s="8" t="s">
        <v>28</v>
      </c>
      <c r="D26" s="1"/>
      <c r="E26" s="1"/>
    </row>
    <row r="27" spans="1:5" x14ac:dyDescent="0.35">
      <c r="A27" s="2" t="s">
        <v>54</v>
      </c>
      <c r="B27" s="5" t="s">
        <v>55</v>
      </c>
      <c r="C27" s="8" t="s">
        <v>28</v>
      </c>
      <c r="D27" s="1"/>
      <c r="E27" s="1"/>
    </row>
    <row r="28" spans="1:5" x14ac:dyDescent="0.35">
      <c r="A28" s="2" t="s">
        <v>56</v>
      </c>
      <c r="B28" s="5" t="s">
        <v>57</v>
      </c>
      <c r="C28" s="8" t="s">
        <v>28</v>
      </c>
      <c r="D28" s="1"/>
      <c r="E28" s="1"/>
    </row>
    <row r="29" spans="1:5" x14ac:dyDescent="0.35">
      <c r="A29" s="2" t="s">
        <v>58</v>
      </c>
      <c r="B29" s="5" t="s">
        <v>59</v>
      </c>
      <c r="C29" s="8" t="s">
        <v>28</v>
      </c>
      <c r="D29" s="1"/>
      <c r="E29" s="1"/>
    </row>
    <row r="30" spans="1:5" x14ac:dyDescent="0.35">
      <c r="A30" s="2" t="s">
        <v>60</v>
      </c>
      <c r="B30" s="5" t="s">
        <v>61</v>
      </c>
      <c r="C30" s="8" t="s">
        <v>28</v>
      </c>
      <c r="D30" s="1"/>
      <c r="E30" s="1"/>
    </row>
    <row r="31" spans="1:5" x14ac:dyDescent="0.35">
      <c r="A31" s="2" t="s">
        <v>62</v>
      </c>
      <c r="B31" s="5" t="s">
        <v>63</v>
      </c>
      <c r="C31" s="8" t="b">
        <v>1</v>
      </c>
      <c r="D31" s="1"/>
      <c r="E31" s="1"/>
    </row>
    <row r="33" spans="1:5" ht="15" thickBot="1" x14ac:dyDescent="0.4">
      <c r="A33" s="10" t="s">
        <v>64</v>
      </c>
      <c r="B33" s="58" t="s">
        <v>4</v>
      </c>
      <c r="C33" s="12" t="s">
        <v>5</v>
      </c>
      <c r="D33" s="11" t="s">
        <v>6</v>
      </c>
      <c r="E33" s="14" t="s">
        <v>7</v>
      </c>
    </row>
    <row r="34" spans="1:5" ht="15" thickTop="1" x14ac:dyDescent="0.35">
      <c r="A34" s="3" t="s">
        <v>65</v>
      </c>
      <c r="B34" s="54" t="s">
        <v>66</v>
      </c>
      <c r="C34" s="21" t="s">
        <v>67</v>
      </c>
      <c r="D34" s="1"/>
      <c r="E34" s="1"/>
    </row>
    <row r="35" spans="1:5" x14ac:dyDescent="0.35">
      <c r="A35" s="2" t="s">
        <v>68</v>
      </c>
      <c r="B35" s="53" t="s">
        <v>69</v>
      </c>
      <c r="C35" s="8" t="s">
        <v>70</v>
      </c>
      <c r="D35" s="6" t="s">
        <v>71</v>
      </c>
      <c r="E35" s="1"/>
    </row>
    <row r="36" spans="1:5" x14ac:dyDescent="0.35">
      <c r="A36" s="2" t="s">
        <v>72</v>
      </c>
      <c r="B36" s="1" t="s">
        <v>73</v>
      </c>
      <c r="C36" s="8" t="s">
        <v>74</v>
      </c>
      <c r="D36" s="6" t="s">
        <v>75</v>
      </c>
      <c r="E36" s="1"/>
    </row>
    <row r="37" spans="1:5" x14ac:dyDescent="0.35">
      <c r="A37" s="2" t="s">
        <v>76</v>
      </c>
      <c r="B37" s="53" t="s">
        <v>77</v>
      </c>
      <c r="C37" s="8" t="s">
        <v>78</v>
      </c>
      <c r="D37" s="1"/>
      <c r="E37" s="1"/>
    </row>
    <row r="39" spans="1:5" ht="15" thickBot="1" x14ac:dyDescent="0.4">
      <c r="A39" s="10" t="s">
        <v>79</v>
      </c>
      <c r="B39" s="58" t="s">
        <v>4</v>
      </c>
      <c r="C39" s="12" t="s">
        <v>5</v>
      </c>
      <c r="D39" s="11" t="s">
        <v>6</v>
      </c>
      <c r="E39" s="14" t="s">
        <v>7</v>
      </c>
    </row>
    <row r="40" spans="1:5" ht="15" thickTop="1" x14ac:dyDescent="0.35">
      <c r="A40" s="2" t="s">
        <v>65</v>
      </c>
      <c r="B40" s="53" t="s">
        <v>66</v>
      </c>
      <c r="C40" s="21" t="s">
        <v>80</v>
      </c>
      <c r="D40" s="1"/>
      <c r="E40" s="1"/>
    </row>
    <row r="41" spans="1:5" x14ac:dyDescent="0.35">
      <c r="A41" s="2" t="s">
        <v>81</v>
      </c>
      <c r="B41" s="53" t="s">
        <v>82</v>
      </c>
      <c r="C41" s="8" t="s">
        <v>83</v>
      </c>
      <c r="D41" s="6" t="s">
        <v>71</v>
      </c>
      <c r="E41" s="1"/>
    </row>
    <row r="42" spans="1:5" x14ac:dyDescent="0.35">
      <c r="A42" s="2"/>
      <c r="B42" s="1"/>
      <c r="C42" s="8"/>
      <c r="D42" s="1"/>
      <c r="E42" s="1"/>
    </row>
    <row r="43" spans="1:5" ht="15" thickBot="1" x14ac:dyDescent="0.4">
      <c r="A43" s="10" t="s">
        <v>79</v>
      </c>
      <c r="B43" s="58" t="s">
        <v>4</v>
      </c>
      <c r="C43" s="12" t="s">
        <v>5</v>
      </c>
      <c r="D43" s="11" t="s">
        <v>6</v>
      </c>
      <c r="E43" s="14" t="s">
        <v>7</v>
      </c>
    </row>
    <row r="44" spans="1:5" ht="15" thickTop="1" x14ac:dyDescent="0.35">
      <c r="A44" s="2" t="s">
        <v>65</v>
      </c>
      <c r="B44" s="53" t="s">
        <v>66</v>
      </c>
      <c r="C44" s="21" t="s">
        <v>84</v>
      </c>
      <c r="D44" s="1"/>
      <c r="E44" s="1"/>
    </row>
    <row r="45" spans="1:5" x14ac:dyDescent="0.35">
      <c r="A45" s="2" t="s">
        <v>81</v>
      </c>
      <c r="B45" s="53" t="s">
        <v>82</v>
      </c>
      <c r="C45" s="8" t="s">
        <v>85</v>
      </c>
      <c r="D45" s="6" t="s">
        <v>71</v>
      </c>
      <c r="E45" s="1"/>
    </row>
    <row r="47" spans="1:5" ht="15" thickBot="1" x14ac:dyDescent="0.4">
      <c r="A47" s="10" t="s">
        <v>86</v>
      </c>
      <c r="B47" s="58" t="s">
        <v>4</v>
      </c>
      <c r="C47" s="12" t="s">
        <v>5</v>
      </c>
      <c r="D47" s="11" t="s">
        <v>6</v>
      </c>
      <c r="E47" s="14" t="s">
        <v>7</v>
      </c>
    </row>
    <row r="48" spans="1:5" ht="15" thickTop="1" x14ac:dyDescent="0.35">
      <c r="A48" s="2" t="s">
        <v>65</v>
      </c>
      <c r="B48" s="53" t="s">
        <v>66</v>
      </c>
      <c r="C48" s="21" t="s">
        <v>87</v>
      </c>
      <c r="D48" s="1"/>
      <c r="E48" s="1"/>
    </row>
    <row r="49" spans="1:5" x14ac:dyDescent="0.35">
      <c r="A49" s="2" t="s">
        <v>68</v>
      </c>
      <c r="B49" s="53" t="s">
        <v>82</v>
      </c>
      <c r="C49" s="8" t="s">
        <v>88</v>
      </c>
      <c r="D49" s="6" t="s">
        <v>75</v>
      </c>
      <c r="E49" s="1"/>
    </row>
    <row r="50" spans="1:5" x14ac:dyDescent="0.35">
      <c r="A50" s="2" t="s">
        <v>89</v>
      </c>
      <c r="B50" s="53" t="s">
        <v>69</v>
      </c>
      <c r="C50" s="8" t="s">
        <v>90</v>
      </c>
      <c r="D50" s="6" t="s">
        <v>75</v>
      </c>
      <c r="E50" s="1"/>
    </row>
    <row r="51" spans="1:5" x14ac:dyDescent="0.35">
      <c r="A51" s="2" t="s">
        <v>91</v>
      </c>
      <c r="B51" s="53" t="s">
        <v>92</v>
      </c>
      <c r="C51" s="8" t="s">
        <v>93</v>
      </c>
      <c r="D51" s="6" t="s">
        <v>75</v>
      </c>
      <c r="E51" s="1"/>
    </row>
    <row r="52" spans="1:5" ht="29" x14ac:dyDescent="0.35">
      <c r="A52" s="2" t="s">
        <v>94</v>
      </c>
      <c r="B52" s="53" t="s">
        <v>95</v>
      </c>
      <c r="C52" s="19" t="s">
        <v>96</v>
      </c>
      <c r="D52" s="6" t="s">
        <v>75</v>
      </c>
      <c r="E52" s="1"/>
    </row>
    <row r="53" spans="1:5" x14ac:dyDescent="0.35">
      <c r="A53" s="2" t="s">
        <v>97</v>
      </c>
      <c r="B53" s="53" t="s">
        <v>98</v>
      </c>
      <c r="C53" s="8" t="s">
        <v>99</v>
      </c>
      <c r="D53" s="6" t="s">
        <v>75</v>
      </c>
      <c r="E53" s="1"/>
    </row>
    <row r="54" spans="1:5" x14ac:dyDescent="0.35">
      <c r="A54" s="2" t="s">
        <v>100</v>
      </c>
      <c r="B54" s="53" t="s">
        <v>101</v>
      </c>
      <c r="C54" s="8" t="s">
        <v>102</v>
      </c>
      <c r="D54" s="1"/>
      <c r="E54" s="1"/>
    </row>
    <row r="55" spans="1:5" x14ac:dyDescent="0.35">
      <c r="A55" s="2" t="s">
        <v>103</v>
      </c>
      <c r="B55" s="53" t="s">
        <v>104</v>
      </c>
      <c r="C55" s="8" t="s">
        <v>105</v>
      </c>
      <c r="D55" s="1"/>
      <c r="E55" s="1"/>
    </row>
    <row r="57" spans="1:5" ht="15" thickBot="1" x14ac:dyDescent="0.4">
      <c r="A57" s="10" t="s">
        <v>106</v>
      </c>
      <c r="B57" s="58" t="s">
        <v>4</v>
      </c>
      <c r="C57" s="12" t="s">
        <v>5</v>
      </c>
      <c r="D57" s="11" t="s">
        <v>6</v>
      </c>
      <c r="E57" s="14" t="s">
        <v>7</v>
      </c>
    </row>
    <row r="58" spans="1:5" ht="15" thickTop="1" x14ac:dyDescent="0.35">
      <c r="A58" s="2" t="s">
        <v>107</v>
      </c>
      <c r="B58" s="54" t="s">
        <v>108</v>
      </c>
      <c r="C58" s="21" t="s">
        <v>67</v>
      </c>
      <c r="D58" s="1"/>
      <c r="E58" s="1"/>
    </row>
    <row r="59" spans="1:5" x14ac:dyDescent="0.35">
      <c r="A59" s="2" t="s">
        <v>81</v>
      </c>
      <c r="B59" s="54" t="s">
        <v>109</v>
      </c>
      <c r="C59" s="8" t="s">
        <v>110</v>
      </c>
      <c r="D59" s="6" t="s">
        <v>71</v>
      </c>
      <c r="E59" s="1"/>
    </row>
    <row r="60" spans="1:5" x14ac:dyDescent="0.35">
      <c r="A60" s="2" t="s">
        <v>111</v>
      </c>
      <c r="B60" s="1"/>
      <c r="C60" s="8" t="s">
        <v>28</v>
      </c>
      <c r="D60" s="1"/>
      <c r="E60" s="1"/>
    </row>
    <row r="62" spans="1:5" ht="15" thickBot="1" x14ac:dyDescent="0.4">
      <c r="A62" s="10" t="s">
        <v>112</v>
      </c>
      <c r="B62" s="58" t="s">
        <v>4</v>
      </c>
      <c r="C62" s="12" t="s">
        <v>5</v>
      </c>
      <c r="D62" s="11" t="s">
        <v>6</v>
      </c>
      <c r="E62" s="14" t="s">
        <v>7</v>
      </c>
    </row>
    <row r="63" spans="1:5" ht="15" thickTop="1" x14ac:dyDescent="0.35">
      <c r="A63" s="3" t="s">
        <v>65</v>
      </c>
      <c r="B63" s="54" t="s">
        <v>66</v>
      </c>
      <c r="C63" s="21" t="s">
        <v>113</v>
      </c>
      <c r="D63" s="1"/>
      <c r="E63" s="1"/>
    </row>
    <row r="64" spans="1:5" x14ac:dyDescent="0.35">
      <c r="A64" s="2" t="s">
        <v>107</v>
      </c>
      <c r="B64" s="54" t="s">
        <v>108</v>
      </c>
      <c r="C64" s="21" t="s">
        <v>67</v>
      </c>
      <c r="D64" s="1"/>
      <c r="E64" s="1"/>
    </row>
    <row r="65" spans="1:5" x14ac:dyDescent="0.35">
      <c r="A65" s="2" t="s">
        <v>81</v>
      </c>
      <c r="B65" s="54" t="s">
        <v>82</v>
      </c>
      <c r="C65" s="8" t="s">
        <v>114</v>
      </c>
      <c r="D65" s="6" t="s">
        <v>71</v>
      </c>
      <c r="E65" s="1"/>
    </row>
    <row r="66" spans="1:5" x14ac:dyDescent="0.35">
      <c r="A66" s="2" t="s">
        <v>115</v>
      </c>
      <c r="B66" s="53" t="s">
        <v>116</v>
      </c>
      <c r="C66" s="97" t="s">
        <v>117</v>
      </c>
      <c r="D66" s="1"/>
      <c r="E66" s="1"/>
    </row>
    <row r="67" spans="1:5" x14ac:dyDescent="0.35">
      <c r="A67" s="2" t="s">
        <v>118</v>
      </c>
      <c r="B67" s="53" t="s">
        <v>119</v>
      </c>
      <c r="C67" s="21" t="s">
        <v>120</v>
      </c>
      <c r="D67" s="1"/>
      <c r="E67" s="1"/>
    </row>
    <row r="68" spans="1:5" x14ac:dyDescent="0.35">
      <c r="A68" s="4" t="s">
        <v>121</v>
      </c>
      <c r="B68" s="52" t="s">
        <v>122</v>
      </c>
      <c r="C68" s="21" t="s">
        <v>87</v>
      </c>
      <c r="D68" s="1"/>
      <c r="E68" s="1"/>
    </row>
    <row r="69" spans="1:5" x14ac:dyDescent="0.35">
      <c r="A69" s="2" t="s">
        <v>123</v>
      </c>
      <c r="B69" s="52" t="s">
        <v>124</v>
      </c>
      <c r="C69" s="21" t="s">
        <v>84</v>
      </c>
      <c r="D69" s="1"/>
      <c r="E69" s="1"/>
    </row>
    <row r="71" spans="1:5" ht="15" thickBot="1" x14ac:dyDescent="0.4">
      <c r="A71" s="10" t="s">
        <v>125</v>
      </c>
      <c r="B71" s="58" t="s">
        <v>4</v>
      </c>
      <c r="C71" s="12" t="s">
        <v>5</v>
      </c>
      <c r="D71" s="11" t="s">
        <v>6</v>
      </c>
      <c r="E71" s="14" t="s">
        <v>7</v>
      </c>
    </row>
    <row r="72" spans="1:5" ht="15" thickTop="1" x14ac:dyDescent="0.35">
      <c r="A72" s="3" t="s">
        <v>65</v>
      </c>
      <c r="B72" s="54" t="s">
        <v>66</v>
      </c>
      <c r="C72" s="21" t="s">
        <v>126</v>
      </c>
      <c r="D72" s="1"/>
      <c r="E72" s="1"/>
    </row>
    <row r="73" spans="1:5" x14ac:dyDescent="0.35">
      <c r="A73" s="2" t="s">
        <v>107</v>
      </c>
      <c r="B73" s="54" t="s">
        <v>108</v>
      </c>
      <c r="C73" s="21" t="s">
        <v>67</v>
      </c>
      <c r="D73" s="1"/>
      <c r="E73" s="1"/>
    </row>
    <row r="74" spans="1:5" x14ac:dyDescent="0.35">
      <c r="A74" s="2" t="s">
        <v>81</v>
      </c>
      <c r="B74" s="54" t="s">
        <v>127</v>
      </c>
      <c r="C74" s="8" t="s">
        <v>128</v>
      </c>
      <c r="D74" s="6" t="s">
        <v>71</v>
      </c>
      <c r="E74" s="1"/>
    </row>
    <row r="75" spans="1:5" x14ac:dyDescent="0.35">
      <c r="A75" s="2" t="s">
        <v>129</v>
      </c>
      <c r="B75" s="53" t="s">
        <v>130</v>
      </c>
      <c r="C75" s="8" t="s">
        <v>131</v>
      </c>
      <c r="D75" s="1"/>
      <c r="E75" s="1"/>
    </row>
    <row r="76" spans="1:5" x14ac:dyDescent="0.35">
      <c r="A76" s="4" t="s">
        <v>121</v>
      </c>
      <c r="B76" s="55" t="s">
        <v>122</v>
      </c>
      <c r="C76" s="25" t="s">
        <v>87</v>
      </c>
    </row>
    <row r="77" spans="1:5" x14ac:dyDescent="0.35">
      <c r="A77" s="2" t="s">
        <v>132</v>
      </c>
      <c r="B77" s="53" t="s">
        <v>133</v>
      </c>
      <c r="C77" s="21">
        <v>90</v>
      </c>
      <c r="D77" s="1"/>
      <c r="E77" s="1"/>
    </row>
    <row r="78" spans="1:5" x14ac:dyDescent="0.35">
      <c r="A78" s="2" t="s">
        <v>134</v>
      </c>
      <c r="B78" s="53" t="s">
        <v>135</v>
      </c>
      <c r="C78" s="8" t="b">
        <v>1</v>
      </c>
      <c r="D78" s="1"/>
      <c r="E78" s="1"/>
    </row>
    <row r="79" spans="1:5" x14ac:dyDescent="0.35">
      <c r="A79" s="2" t="s">
        <v>136</v>
      </c>
      <c r="B79" s="100" t="s">
        <v>137</v>
      </c>
      <c r="C79" s="8" t="b">
        <v>1</v>
      </c>
      <c r="D79" s="1"/>
      <c r="E79" s="1"/>
    </row>
    <row r="80" spans="1:5" x14ac:dyDescent="0.35">
      <c r="A80" s="2" t="s">
        <v>138</v>
      </c>
      <c r="B80" s="100" t="s">
        <v>139</v>
      </c>
      <c r="C80" s="8" t="b">
        <v>1</v>
      </c>
      <c r="D80" s="1"/>
      <c r="E80" s="1"/>
    </row>
    <row r="81" spans="1:5" x14ac:dyDescent="0.35">
      <c r="A81" s="2" t="s">
        <v>140</v>
      </c>
      <c r="B81" s="100" t="s">
        <v>141</v>
      </c>
      <c r="C81" s="8" t="b">
        <v>1</v>
      </c>
      <c r="D81" s="1"/>
      <c r="E81" s="1"/>
    </row>
    <row r="82" spans="1:5" ht="29" x14ac:dyDescent="0.35">
      <c r="A82" s="2" t="s">
        <v>142</v>
      </c>
      <c r="B82" s="100" t="s">
        <v>143</v>
      </c>
      <c r="C82" s="8" t="b">
        <v>1</v>
      </c>
      <c r="D82" s="1"/>
      <c r="E82" s="1"/>
    </row>
    <row r="83" spans="1:5" x14ac:dyDescent="0.35">
      <c r="A83" s="2" t="s">
        <v>144</v>
      </c>
      <c r="B83" s="100" t="s">
        <v>145</v>
      </c>
      <c r="C83" s="8" t="b">
        <v>1</v>
      </c>
      <c r="D83" s="1"/>
      <c r="E83" s="1"/>
    </row>
    <row r="85" spans="1:5" ht="15" thickBot="1" x14ac:dyDescent="0.4">
      <c r="A85" s="10" t="s">
        <v>146</v>
      </c>
      <c r="B85" s="58" t="s">
        <v>4</v>
      </c>
      <c r="C85" s="12" t="s">
        <v>5</v>
      </c>
      <c r="D85" s="11" t="s">
        <v>6</v>
      </c>
      <c r="E85" s="14" t="s">
        <v>7</v>
      </c>
    </row>
    <row r="86" spans="1:5" ht="15" thickTop="1" x14ac:dyDescent="0.35">
      <c r="A86" s="2" t="s">
        <v>81</v>
      </c>
      <c r="B86" s="54" t="s">
        <v>147</v>
      </c>
      <c r="C86" s="8" t="s">
        <v>148</v>
      </c>
      <c r="D86" s="6" t="s">
        <v>71</v>
      </c>
      <c r="E86" s="1"/>
    </row>
    <row r="87" spans="1:5" x14ac:dyDescent="0.35">
      <c r="A87" s="2" t="s">
        <v>125</v>
      </c>
      <c r="B87" s="54" t="s">
        <v>127</v>
      </c>
      <c r="C87" s="8" t="s">
        <v>128</v>
      </c>
      <c r="D87" s="6" t="s">
        <v>71</v>
      </c>
      <c r="E87" s="1"/>
    </row>
    <row r="88" spans="1:5" x14ac:dyDescent="0.35">
      <c r="A88" s="3" t="s">
        <v>149</v>
      </c>
      <c r="B88" s="98" t="s">
        <v>150</v>
      </c>
      <c r="C88" s="101" t="s">
        <v>151</v>
      </c>
      <c r="D88" s="1"/>
      <c r="E88" s="1"/>
    </row>
    <row r="89" spans="1:5" x14ac:dyDescent="0.35">
      <c r="A89" s="2" t="s">
        <v>152</v>
      </c>
      <c r="B89" s="99" t="s">
        <v>153</v>
      </c>
      <c r="C89" s="101">
        <v>2048</v>
      </c>
      <c r="D89" s="1"/>
      <c r="E89" s="1"/>
    </row>
    <row r="90" spans="1:5" x14ac:dyDescent="0.35">
      <c r="A90" s="2" t="s">
        <v>154</v>
      </c>
      <c r="B90" s="98" t="s">
        <v>155</v>
      </c>
      <c r="C90" s="102" t="s">
        <v>156</v>
      </c>
      <c r="D90" s="1"/>
      <c r="E90" s="1"/>
    </row>
    <row r="92" spans="1:5" ht="15" thickBot="1" x14ac:dyDescent="0.4">
      <c r="A92" s="10" t="s">
        <v>157</v>
      </c>
      <c r="B92" s="58" t="s">
        <v>4</v>
      </c>
      <c r="C92" s="12" t="s">
        <v>5</v>
      </c>
      <c r="D92" s="11" t="s">
        <v>6</v>
      </c>
      <c r="E92" s="14" t="s">
        <v>7</v>
      </c>
    </row>
    <row r="93" spans="1:5" ht="15" thickTop="1" x14ac:dyDescent="0.35">
      <c r="A93" s="2" t="s">
        <v>107</v>
      </c>
      <c r="B93" s="54" t="s">
        <v>108</v>
      </c>
      <c r="C93" s="21" t="s">
        <v>67</v>
      </c>
      <c r="D93" s="1"/>
      <c r="E93" s="1"/>
    </row>
    <row r="94" spans="1:5" x14ac:dyDescent="0.35">
      <c r="A94" s="2" t="s">
        <v>81</v>
      </c>
      <c r="B94" s="54" t="s">
        <v>158</v>
      </c>
      <c r="C94" s="8" t="s">
        <v>159</v>
      </c>
      <c r="D94" s="6" t="s">
        <v>71</v>
      </c>
      <c r="E94" s="1"/>
    </row>
    <row r="95" spans="1:5" x14ac:dyDescent="0.35">
      <c r="A95" s="2" t="s">
        <v>160</v>
      </c>
      <c r="B95" s="98" t="s">
        <v>161</v>
      </c>
      <c r="C95" s="103" t="s">
        <v>162</v>
      </c>
      <c r="D95" s="1"/>
      <c r="E95" s="1"/>
    </row>
    <row r="97" spans="1:5" ht="15" thickBot="1" x14ac:dyDescent="0.4">
      <c r="A97" s="10" t="s">
        <v>163</v>
      </c>
      <c r="B97" s="58" t="s">
        <v>4</v>
      </c>
      <c r="C97" s="12" t="s">
        <v>5</v>
      </c>
      <c r="D97" s="11" t="s">
        <v>6</v>
      </c>
      <c r="E97" s="14" t="s">
        <v>7</v>
      </c>
    </row>
    <row r="98" spans="1:5" ht="15" thickTop="1" x14ac:dyDescent="0.35">
      <c r="A98" s="2" t="s">
        <v>65</v>
      </c>
      <c r="B98" s="53" t="s">
        <v>164</v>
      </c>
      <c r="C98" s="21" t="s">
        <v>165</v>
      </c>
      <c r="D98" s="1"/>
      <c r="E98" s="1"/>
    </row>
    <row r="99" spans="1:5" x14ac:dyDescent="0.35">
      <c r="A99" s="2" t="s">
        <v>107</v>
      </c>
      <c r="B99" s="54" t="s">
        <v>108</v>
      </c>
      <c r="C99" s="21" t="s">
        <v>67</v>
      </c>
      <c r="D99" s="1"/>
      <c r="E99" s="1"/>
    </row>
    <row r="100" spans="1:5" x14ac:dyDescent="0.35">
      <c r="A100" s="2" t="s">
        <v>68</v>
      </c>
      <c r="B100" s="53" t="str">
        <f>"vm_list." &amp; C98 &amp; ".name"</f>
        <v>vm_list.vm1.name</v>
      </c>
      <c r="C100" s="21" t="s">
        <v>166</v>
      </c>
      <c r="D100" s="6" t="s">
        <v>71</v>
      </c>
      <c r="E100" s="1"/>
    </row>
    <row r="101" spans="1:5" x14ac:dyDescent="0.35">
      <c r="A101" s="2" t="s">
        <v>167</v>
      </c>
      <c r="B101" s="53" t="str">
        <f>"vm_list." &amp; C98 &amp; ".image_os"</f>
        <v>vm_list.vm1.image_os</v>
      </c>
      <c r="C101" s="8" t="s">
        <v>168</v>
      </c>
      <c r="D101" s="1"/>
      <c r="E101" s="1"/>
    </row>
    <row r="102" spans="1:5" x14ac:dyDescent="0.35">
      <c r="A102" s="20" t="s">
        <v>169</v>
      </c>
      <c r="B102" s="53" t="str">
        <f>"vm_list." &amp; C98 &amp; ".image_urn"</f>
        <v>vm_list.vm1.image_urn</v>
      </c>
      <c r="C102" s="8"/>
      <c r="D102" s="1"/>
      <c r="E102" s="1"/>
    </row>
    <row r="103" spans="1:5" x14ac:dyDescent="0.35">
      <c r="A103" s="20" t="s">
        <v>170</v>
      </c>
      <c r="B103" s="53" t="str">
        <f>"vm_list." &amp; C99 &amp; ".source_image_id"</f>
        <v>vm_list.rsg1.source_image_id</v>
      </c>
      <c r="C103" s="8" t="s">
        <v>171</v>
      </c>
      <c r="D103" s="1"/>
      <c r="E103" s="1"/>
    </row>
    <row r="104" spans="1:5" x14ac:dyDescent="0.35">
      <c r="A104" s="2" t="s">
        <v>129</v>
      </c>
      <c r="B104" s="53" t="str">
        <f>"vm_list." &amp; C98 &amp; ".size"</f>
        <v>vm_list.vm1.size</v>
      </c>
      <c r="C104" s="8" t="s">
        <v>172</v>
      </c>
      <c r="D104" s="1"/>
      <c r="E104" s="1"/>
    </row>
    <row r="105" spans="1:5" x14ac:dyDescent="0.35">
      <c r="A105" s="2" t="s">
        <v>173</v>
      </c>
      <c r="B105" s="53" t="str">
        <f>"vm_list." &amp; C98 &amp; ".os_disk_size"</f>
        <v>vm_list.vm1.os_disk_size</v>
      </c>
      <c r="C105" s="8">
        <v>128</v>
      </c>
      <c r="D105" s="1"/>
      <c r="E105" s="1"/>
    </row>
    <row r="106" spans="1:5" x14ac:dyDescent="0.35">
      <c r="A106" s="2" t="s">
        <v>174</v>
      </c>
      <c r="B106" s="53" t="str">
        <f>"vm_list." &amp; C98 &amp; ".os_disk_type"</f>
        <v>vm_list.vm1.os_disk_type</v>
      </c>
      <c r="C106" s="1" t="s">
        <v>175</v>
      </c>
      <c r="D106" s="1"/>
      <c r="E106" s="1"/>
    </row>
    <row r="107" spans="1:5" x14ac:dyDescent="0.35">
      <c r="A107" s="2" t="s">
        <v>176</v>
      </c>
      <c r="B107" s="53" t="str">
        <f>"vm_list." &amp; C98 &amp; ".ip_allocation"</f>
        <v>vm_list.vm1.ip_allocation</v>
      </c>
      <c r="C107" s="104" t="s">
        <v>177</v>
      </c>
      <c r="D107" s="1"/>
      <c r="E107" s="1"/>
    </row>
    <row r="108" spans="1:5" x14ac:dyDescent="0.35">
      <c r="A108" s="2" t="s">
        <v>178</v>
      </c>
      <c r="B108" s="53" t="str">
        <f>"vm_list." &amp; C98 &amp; ".ip_address"</f>
        <v>vm_list.vm1.ip_address</v>
      </c>
      <c r="C108" s="8"/>
      <c r="D108" s="1"/>
      <c r="E108" s="1" t="s">
        <v>179</v>
      </c>
    </row>
    <row r="109" spans="1:5" x14ac:dyDescent="0.35">
      <c r="A109" s="4" t="s">
        <v>121</v>
      </c>
      <c r="B109" s="52" t="str">
        <f>"vm_list." &amp; C98 &amp; ".snet_key"</f>
        <v>vm_list.vm1.snet_key</v>
      </c>
      <c r="C109" s="21" t="s">
        <v>87</v>
      </c>
      <c r="D109" s="1"/>
      <c r="E109" s="1"/>
    </row>
    <row r="110" spans="1:5" x14ac:dyDescent="0.35">
      <c r="A110" s="2" t="s">
        <v>123</v>
      </c>
      <c r="B110" s="52" t="str">
        <f>"vm_list." &amp; C98 &amp; ".asg_key"</f>
        <v>vm_list.vm1.asg_key</v>
      </c>
      <c r="C110" s="21" t="s">
        <v>80</v>
      </c>
      <c r="D110" s="1"/>
      <c r="E110" s="1"/>
    </row>
    <row r="111" spans="1:5" x14ac:dyDescent="0.35">
      <c r="A111" s="20" t="s">
        <v>180</v>
      </c>
      <c r="B111" s="53" t="str">
        <f>"vm_list." &amp; C98 &amp; ".tags.wab:role"</f>
        <v>vm_list.vm1.tags.wab:role</v>
      </c>
      <c r="C111" s="8" t="s">
        <v>181</v>
      </c>
      <c r="D111" s="1"/>
      <c r="E111" s="1"/>
    </row>
    <row r="112" spans="1:5" x14ac:dyDescent="0.35">
      <c r="A112" s="20" t="s">
        <v>182</v>
      </c>
      <c r="B112" s="53" t="str">
        <f>"vm_list." &amp; C98 &amp; ".tags.wab:patch-optin"</f>
        <v>vm_list.vm1.tags.wab:patch-optin</v>
      </c>
      <c r="C112" s="8" t="s">
        <v>75</v>
      </c>
      <c r="D112" s="1"/>
      <c r="E112" s="1"/>
    </row>
    <row r="113" spans="1:5" x14ac:dyDescent="0.35">
      <c r="A113" s="2" t="s">
        <v>183</v>
      </c>
      <c r="B113" s="53" t="s">
        <v>184</v>
      </c>
      <c r="C113" s="101" t="s">
        <v>185</v>
      </c>
      <c r="D113" s="1"/>
      <c r="E113" s="1"/>
    </row>
    <row r="114" spans="1:5" x14ac:dyDescent="0.35">
      <c r="A114" s="2" t="s">
        <v>186</v>
      </c>
      <c r="B114" s="1"/>
      <c r="C114" s="21" t="s">
        <v>187</v>
      </c>
      <c r="D114" s="1"/>
      <c r="E114" s="1"/>
    </row>
    <row r="115" spans="1:5" x14ac:dyDescent="0.35">
      <c r="A115" s="2" t="s">
        <v>188</v>
      </c>
      <c r="B115" s="1"/>
      <c r="C115" s="8" t="s">
        <v>28</v>
      </c>
      <c r="D115" s="1"/>
      <c r="E115" s="1"/>
    </row>
    <row r="116" spans="1:5" x14ac:dyDescent="0.35">
      <c r="A116" s="2" t="s">
        <v>29</v>
      </c>
      <c r="B116" s="1"/>
      <c r="C116" s="8" t="s">
        <v>28</v>
      </c>
      <c r="D116" s="1"/>
      <c r="E116" s="1"/>
    </row>
    <row r="117" spans="1:5" x14ac:dyDescent="0.35">
      <c r="A117" s="2" t="s">
        <v>189</v>
      </c>
      <c r="B117" s="1"/>
      <c r="C117" s="8" t="s">
        <v>28</v>
      </c>
      <c r="D117" s="1"/>
      <c r="E117" s="1"/>
    </row>
    <row r="118" spans="1:5" x14ac:dyDescent="0.35">
      <c r="A118" s="2" t="s">
        <v>41</v>
      </c>
      <c r="B118" s="1"/>
      <c r="C118" s="8" t="s">
        <v>28</v>
      </c>
      <c r="D118" s="1"/>
      <c r="E118" s="1"/>
    </row>
    <row r="119" spans="1:5" x14ac:dyDescent="0.35">
      <c r="A119" s="2" t="s">
        <v>190</v>
      </c>
      <c r="B119" s="1"/>
      <c r="C119" s="8" t="s">
        <v>28</v>
      </c>
      <c r="D119" s="1"/>
      <c r="E119" s="1"/>
    </row>
    <row r="120" spans="1:5" x14ac:dyDescent="0.35">
      <c r="A120" s="2"/>
      <c r="B120" s="1"/>
      <c r="C120" s="8"/>
      <c r="D120" s="1"/>
      <c r="E120" s="1"/>
    </row>
    <row r="121" spans="1:5" ht="15" thickBot="1" x14ac:dyDescent="0.4">
      <c r="A121" s="10" t="s">
        <v>191</v>
      </c>
      <c r="B121" s="58" t="s">
        <v>4</v>
      </c>
      <c r="C121" s="12" t="s">
        <v>5</v>
      </c>
      <c r="D121" s="11" t="s">
        <v>6</v>
      </c>
      <c r="E121" s="14" t="s">
        <v>7</v>
      </c>
    </row>
    <row r="122" spans="1:5" ht="15" thickTop="1" x14ac:dyDescent="0.35">
      <c r="A122" s="2" t="s">
        <v>192</v>
      </c>
      <c r="B122" s="52" t="s">
        <v>192</v>
      </c>
      <c r="C122" s="21" t="s">
        <v>165</v>
      </c>
      <c r="D122" s="1"/>
      <c r="E122" s="1"/>
    </row>
    <row r="123" spans="1:5" x14ac:dyDescent="0.35">
      <c r="A123" s="2" t="s">
        <v>68</v>
      </c>
      <c r="B123" s="53" t="str">
        <f>"vm_list." &amp; C122 &amp; ".Disks.name"</f>
        <v>vm_list.vm1.Disks.name</v>
      </c>
      <c r="C123" s="21" t="s">
        <v>166</v>
      </c>
      <c r="D123" s="1"/>
      <c r="E123" s="1"/>
    </row>
    <row r="124" spans="1:5" x14ac:dyDescent="0.35">
      <c r="A124" s="2" t="s">
        <v>193</v>
      </c>
      <c r="B124" s="53" t="str">
        <f>"vm_list." &amp; C122 &amp; ".Disks.data_disk_sizes"</f>
        <v>vm_list.vm1.Disks.data_disk_sizes</v>
      </c>
      <c r="C124" s="8" t="s">
        <v>194</v>
      </c>
      <c r="D124" s="1"/>
      <c r="E124" s="1"/>
    </row>
    <row r="125" spans="1:5" x14ac:dyDescent="0.35">
      <c r="A125" s="2" t="s">
        <v>195</v>
      </c>
      <c r="B125" s="53" t="str">
        <f>"vm_list." &amp; C122 &amp; ".Disks.data_disk_type"</f>
        <v>vm_list.vm1.Disks.data_disk_type</v>
      </c>
      <c r="C125" s="8" t="s">
        <v>175</v>
      </c>
      <c r="D125" s="1"/>
      <c r="E125" s="1"/>
    </row>
    <row r="126" spans="1:5" x14ac:dyDescent="0.35">
      <c r="A126" s="2" t="s">
        <v>196</v>
      </c>
      <c r="B126" s="1"/>
      <c r="C126" s="8" t="s">
        <v>197</v>
      </c>
      <c r="D126" s="1"/>
      <c r="E126" s="1"/>
    </row>
    <row r="128" spans="1:5" ht="15" thickBot="1" x14ac:dyDescent="0.4">
      <c r="A128" s="10" t="s">
        <v>163</v>
      </c>
      <c r="B128" s="58" t="s">
        <v>4</v>
      </c>
      <c r="C128" s="12" t="s">
        <v>5</v>
      </c>
      <c r="D128" s="11" t="s">
        <v>6</v>
      </c>
      <c r="E128" s="14" t="s">
        <v>7</v>
      </c>
    </row>
    <row r="129" spans="1:5" ht="15" thickTop="1" x14ac:dyDescent="0.35">
      <c r="A129" s="2" t="s">
        <v>65</v>
      </c>
      <c r="B129" s="53" t="s">
        <v>164</v>
      </c>
      <c r="C129" s="21" t="s">
        <v>198</v>
      </c>
      <c r="D129" s="1"/>
      <c r="E129" s="1"/>
    </row>
    <row r="130" spans="1:5" x14ac:dyDescent="0.35">
      <c r="A130" s="2" t="s">
        <v>107</v>
      </c>
      <c r="B130" s="54" t="s">
        <v>108</v>
      </c>
      <c r="C130" s="21" t="s">
        <v>67</v>
      </c>
      <c r="D130" s="1"/>
      <c r="E130" s="1"/>
    </row>
    <row r="131" spans="1:5" x14ac:dyDescent="0.35">
      <c r="A131" s="2" t="s">
        <v>68</v>
      </c>
      <c r="B131" s="53" t="str">
        <f>"vm_list." &amp; C129 &amp; ".name"</f>
        <v>vm_list.vm2.name</v>
      </c>
      <c r="C131" s="21" t="s">
        <v>199</v>
      </c>
      <c r="D131" s="6" t="s">
        <v>71</v>
      </c>
      <c r="E131" s="1"/>
    </row>
    <row r="132" spans="1:5" x14ac:dyDescent="0.35">
      <c r="A132" s="2" t="s">
        <v>167</v>
      </c>
      <c r="B132" s="53" t="str">
        <f>"vm_list." &amp; C129 &amp; ".image_os"</f>
        <v>vm_list.vm2.image_os</v>
      </c>
      <c r="C132" s="8" t="s">
        <v>168</v>
      </c>
      <c r="D132" s="1"/>
      <c r="E132" s="1"/>
    </row>
    <row r="133" spans="1:5" x14ac:dyDescent="0.35">
      <c r="A133" s="20" t="s">
        <v>169</v>
      </c>
      <c r="B133" s="53" t="str">
        <f>"vm_list." &amp; C129 &amp; ".image_urn"</f>
        <v>vm_list.vm2.image_urn</v>
      </c>
      <c r="C133" s="8"/>
      <c r="D133" s="1"/>
      <c r="E133" s="1"/>
    </row>
    <row r="134" spans="1:5" x14ac:dyDescent="0.35">
      <c r="A134" s="20" t="s">
        <v>170</v>
      </c>
      <c r="B134" s="53" t="str">
        <f>"vm_list." &amp; C130 &amp; ".source_image_id"</f>
        <v>vm_list.rsg1.source_image_id</v>
      </c>
      <c r="C134" s="8" t="s">
        <v>171</v>
      </c>
      <c r="D134" s="1"/>
      <c r="E134" s="1"/>
    </row>
    <row r="135" spans="1:5" x14ac:dyDescent="0.35">
      <c r="A135" s="2" t="s">
        <v>129</v>
      </c>
      <c r="B135" s="53" t="str">
        <f>"vm_list." &amp; C129 &amp; ".size"</f>
        <v>vm_list.vm2.size</v>
      </c>
      <c r="C135" s="8" t="s">
        <v>172</v>
      </c>
      <c r="D135" s="1"/>
      <c r="E135" s="1"/>
    </row>
    <row r="136" spans="1:5" x14ac:dyDescent="0.35">
      <c r="A136" s="2" t="s">
        <v>173</v>
      </c>
      <c r="B136" s="53" t="str">
        <f>"vm_list." &amp; C129 &amp; ".os_disk_size"</f>
        <v>vm_list.vm2.os_disk_size</v>
      </c>
      <c r="C136" s="8">
        <v>128</v>
      </c>
      <c r="D136" s="1"/>
      <c r="E136" s="1"/>
    </row>
    <row r="137" spans="1:5" x14ac:dyDescent="0.35">
      <c r="A137" s="2" t="s">
        <v>174</v>
      </c>
      <c r="B137" s="53" t="str">
        <f>"vm_list." &amp; C129 &amp; ".os_disk_type"</f>
        <v>vm_list.vm2.os_disk_type</v>
      </c>
      <c r="C137" s="1" t="s">
        <v>175</v>
      </c>
      <c r="D137" s="1"/>
      <c r="E137" s="1"/>
    </row>
    <row r="138" spans="1:5" x14ac:dyDescent="0.35">
      <c r="A138" s="2" t="s">
        <v>176</v>
      </c>
      <c r="B138" s="53" t="str">
        <f>"vm_list." &amp; C129 &amp; ".ip_allocation"</f>
        <v>vm_list.vm2.ip_allocation</v>
      </c>
      <c r="C138" s="104" t="s">
        <v>177</v>
      </c>
      <c r="D138" s="1"/>
      <c r="E138" s="1"/>
    </row>
    <row r="139" spans="1:5" x14ac:dyDescent="0.35">
      <c r="A139" s="2" t="s">
        <v>178</v>
      </c>
      <c r="B139" s="53" t="str">
        <f>"vm_list." &amp; C129 &amp; ".ip_address"</f>
        <v>vm_list.vm2.ip_address</v>
      </c>
      <c r="C139" s="8"/>
      <c r="D139" s="1"/>
      <c r="E139" s="1" t="s">
        <v>179</v>
      </c>
    </row>
    <row r="140" spans="1:5" x14ac:dyDescent="0.35">
      <c r="A140" s="4" t="s">
        <v>121</v>
      </c>
      <c r="B140" s="52" t="str">
        <f>"vm_list." &amp; C129 &amp; ".snet_key"</f>
        <v>vm_list.vm2.snet_key</v>
      </c>
      <c r="C140" s="21" t="s">
        <v>87</v>
      </c>
      <c r="D140" s="1"/>
      <c r="E140" s="1"/>
    </row>
    <row r="141" spans="1:5" x14ac:dyDescent="0.35">
      <c r="A141" s="2" t="s">
        <v>123</v>
      </c>
      <c r="B141" s="52" t="str">
        <f>"vm_list." &amp; C129 &amp; ".asg_key"</f>
        <v>vm_list.vm2.asg_key</v>
      </c>
      <c r="C141" s="21" t="s">
        <v>80</v>
      </c>
      <c r="D141" s="1"/>
      <c r="E141" s="1"/>
    </row>
    <row r="142" spans="1:5" x14ac:dyDescent="0.35">
      <c r="A142" s="20" t="s">
        <v>180</v>
      </c>
      <c r="B142" s="53" t="str">
        <f>"vm_list." &amp; C129 &amp; ".tags.wab:role"</f>
        <v>vm_list.vm2.tags.wab:role</v>
      </c>
      <c r="C142" s="8" t="s">
        <v>181</v>
      </c>
      <c r="D142" s="1"/>
      <c r="E142" s="1"/>
    </row>
    <row r="143" spans="1:5" x14ac:dyDescent="0.35">
      <c r="A143" s="20" t="s">
        <v>182</v>
      </c>
      <c r="B143" s="53" t="str">
        <f>"vm_list." &amp; C129 &amp; ".tags.wab:patch-optin"</f>
        <v>vm_list.vm2.tags.wab:patch-optin</v>
      </c>
      <c r="C143" s="8" t="s">
        <v>75</v>
      </c>
      <c r="D143" s="1"/>
      <c r="E143" s="1"/>
    </row>
    <row r="144" spans="1:5" x14ac:dyDescent="0.35">
      <c r="A144" s="2" t="s">
        <v>183</v>
      </c>
      <c r="B144" s="53" t="s">
        <v>184</v>
      </c>
      <c r="C144" s="101" t="s">
        <v>185</v>
      </c>
      <c r="D144" s="1"/>
      <c r="E144" s="1"/>
    </row>
    <row r="145" spans="1:5" x14ac:dyDescent="0.35">
      <c r="A145" s="2" t="s">
        <v>186</v>
      </c>
      <c r="B145" s="1"/>
      <c r="C145" s="21" t="s">
        <v>200</v>
      </c>
      <c r="D145" s="1"/>
      <c r="E145" s="1"/>
    </row>
    <row r="146" spans="1:5" x14ac:dyDescent="0.35">
      <c r="A146" s="2" t="s">
        <v>188</v>
      </c>
      <c r="B146" s="1"/>
      <c r="C146" s="8" t="s">
        <v>28</v>
      </c>
      <c r="D146" s="1"/>
      <c r="E146" s="1"/>
    </row>
    <row r="147" spans="1:5" x14ac:dyDescent="0.35">
      <c r="A147" s="2" t="s">
        <v>29</v>
      </c>
      <c r="B147" s="1"/>
      <c r="C147" s="8" t="s">
        <v>28</v>
      </c>
      <c r="D147" s="1"/>
      <c r="E147" s="1"/>
    </row>
    <row r="148" spans="1:5" x14ac:dyDescent="0.35">
      <c r="A148" s="2" t="s">
        <v>189</v>
      </c>
      <c r="B148" s="1"/>
      <c r="C148" s="8" t="s">
        <v>28</v>
      </c>
      <c r="D148" s="1"/>
      <c r="E148" s="1"/>
    </row>
    <row r="149" spans="1:5" x14ac:dyDescent="0.35">
      <c r="A149" s="2" t="s">
        <v>41</v>
      </c>
      <c r="B149" s="1"/>
      <c r="C149" s="8" t="s">
        <v>28</v>
      </c>
      <c r="D149" s="1"/>
      <c r="E149" s="1"/>
    </row>
    <row r="150" spans="1:5" x14ac:dyDescent="0.35">
      <c r="A150" s="2" t="s">
        <v>190</v>
      </c>
      <c r="B150" s="1"/>
      <c r="C150" s="8" t="s">
        <v>28</v>
      </c>
      <c r="D150" s="1"/>
      <c r="E150" s="1"/>
    </row>
    <row r="152" spans="1:5" ht="15" thickBot="1" x14ac:dyDescent="0.4">
      <c r="A152" s="10" t="s">
        <v>191</v>
      </c>
      <c r="B152" s="58" t="s">
        <v>4</v>
      </c>
      <c r="C152" s="12" t="s">
        <v>5</v>
      </c>
      <c r="D152" s="11" t="s">
        <v>6</v>
      </c>
      <c r="E152" s="14" t="s">
        <v>7</v>
      </c>
    </row>
    <row r="153" spans="1:5" ht="15" thickTop="1" x14ac:dyDescent="0.35">
      <c r="A153" s="2" t="s">
        <v>192</v>
      </c>
      <c r="B153" s="52" t="s">
        <v>192</v>
      </c>
      <c r="C153" s="21" t="s">
        <v>198</v>
      </c>
      <c r="D153" s="1"/>
      <c r="E153" s="1"/>
    </row>
    <row r="154" spans="1:5" x14ac:dyDescent="0.35">
      <c r="A154" s="2" t="s">
        <v>68</v>
      </c>
      <c r="B154" s="53" t="str">
        <f>"vm_list." &amp; C153 &amp; ".Disks.name"</f>
        <v>vm_list.vm2.Disks.name</v>
      </c>
      <c r="C154" s="21" t="s">
        <v>199</v>
      </c>
      <c r="D154" s="1"/>
      <c r="E154" s="1"/>
    </row>
    <row r="155" spans="1:5" x14ac:dyDescent="0.35">
      <c r="A155" s="2" t="s">
        <v>193</v>
      </c>
      <c r="B155" s="53" t="str">
        <f>"vm_list." &amp; C153 &amp; ".Disks.data_disk_sizes"</f>
        <v>vm_list.vm2.Disks.data_disk_sizes</v>
      </c>
      <c r="C155" s="8" t="s">
        <v>194</v>
      </c>
      <c r="D155" s="1"/>
      <c r="E155" s="1"/>
    </row>
    <row r="156" spans="1:5" x14ac:dyDescent="0.35">
      <c r="A156" s="2" t="s">
        <v>195</v>
      </c>
      <c r="B156" s="53" t="str">
        <f>"vm_list." &amp; C153 &amp; ".Disks.data_disk_type"</f>
        <v>vm_list.vm2.Disks.data_disk_type</v>
      </c>
      <c r="C156" s="8" t="s">
        <v>175</v>
      </c>
      <c r="D156" s="1"/>
      <c r="E156" s="1"/>
    </row>
    <row r="157" spans="1:5" x14ac:dyDescent="0.35">
      <c r="A157" s="2" t="s">
        <v>196</v>
      </c>
      <c r="B157" s="1"/>
      <c r="C157" s="8" t="s">
        <v>197</v>
      </c>
      <c r="D157" s="1"/>
      <c r="E157" s="1"/>
    </row>
  </sheetData>
  <mergeCells count="2">
    <mergeCell ref="C1:H1"/>
    <mergeCell ref="J1:P1"/>
  </mergeCells>
  <conditionalFormatting sqref="D35:D36">
    <cfRule type="cellIs" dxfId="353" priority="35" operator="equal">
      <formula>"YES"</formula>
    </cfRule>
    <cfRule type="cellIs" dxfId="352" priority="36" operator="equal">
      <formula>"NO"</formula>
    </cfRule>
  </conditionalFormatting>
  <conditionalFormatting sqref="D41:D45">
    <cfRule type="cellIs" dxfId="351" priority="33" operator="equal">
      <formula>"YES"</formula>
    </cfRule>
    <cfRule type="cellIs" dxfId="350" priority="34" operator="equal">
      <formula>"NO"</formula>
    </cfRule>
  </conditionalFormatting>
  <conditionalFormatting sqref="D45">
    <cfRule type="cellIs" dxfId="349" priority="26" operator="equal">
      <formula>"YES"</formula>
    </cfRule>
    <cfRule type="cellIs" dxfId="348" priority="27" operator="equal">
      <formula>"NO"</formula>
    </cfRule>
  </conditionalFormatting>
  <conditionalFormatting sqref="C55">
    <cfRule type="cellIs" dxfId="347" priority="18" operator="equal">
      <formula>"Microsoft.KeyVault"</formula>
    </cfRule>
  </conditionalFormatting>
  <conditionalFormatting sqref="D49:D53">
    <cfRule type="cellIs" dxfId="346" priority="16" operator="equal">
      <formula>"YES"</formula>
    </cfRule>
    <cfRule type="cellIs" dxfId="345" priority="17" operator="equal">
      <formula>"NO"</formula>
    </cfRule>
  </conditionalFormatting>
  <conditionalFormatting sqref="D59">
    <cfRule type="cellIs" dxfId="344" priority="14" operator="equal">
      <formula>"YES"</formula>
    </cfRule>
    <cfRule type="cellIs" dxfId="343" priority="15" operator="equal">
      <formula>"NO"</formula>
    </cfRule>
  </conditionalFormatting>
  <conditionalFormatting sqref="D65">
    <cfRule type="cellIs" dxfId="342" priority="12" operator="equal">
      <formula>"YES"</formula>
    </cfRule>
    <cfRule type="cellIs" dxfId="341" priority="13" operator="equal">
      <formula>"NO"</formula>
    </cfRule>
  </conditionalFormatting>
  <conditionalFormatting sqref="C79:C83">
    <cfRule type="cellIs" dxfId="340" priority="11" operator="equal">
      <formula>TRUE</formula>
    </cfRule>
  </conditionalFormatting>
  <conditionalFormatting sqref="D74">
    <cfRule type="cellIs" dxfId="339" priority="9" operator="equal">
      <formula>"YES"</formula>
    </cfRule>
    <cfRule type="cellIs" dxfId="338" priority="10" operator="equal">
      <formula>"NO"</formula>
    </cfRule>
  </conditionalFormatting>
  <conditionalFormatting sqref="D86:D87">
    <cfRule type="cellIs" dxfId="337" priority="7" operator="equal">
      <formula>"YES"</formula>
    </cfRule>
    <cfRule type="cellIs" dxfId="336" priority="8" operator="equal">
      <formula>"NO"</formula>
    </cfRule>
  </conditionalFormatting>
  <conditionalFormatting sqref="D94">
    <cfRule type="cellIs" dxfId="335" priority="5" operator="equal">
      <formula>"YES"</formula>
    </cfRule>
    <cfRule type="cellIs" dxfId="334" priority="6" operator="equal">
      <formula>"NO"</formula>
    </cfRule>
  </conditionalFormatting>
  <conditionalFormatting sqref="D100">
    <cfRule type="cellIs" dxfId="333" priority="3" operator="equal">
      <formula>"YES"</formula>
    </cfRule>
    <cfRule type="cellIs" dxfId="332" priority="4" operator="equal">
      <formula>"NO"</formula>
    </cfRule>
  </conditionalFormatting>
  <conditionalFormatting sqref="D131">
    <cfRule type="cellIs" dxfId="331" priority="1" operator="equal">
      <formula>"YES"</formula>
    </cfRule>
    <cfRule type="cellIs" dxfId="330" priority="2" operator="equal">
      <formula>"NO"</formula>
    </cfRule>
  </conditionalFormatting>
  <dataValidations count="3">
    <dataValidation type="list" allowBlank="1" showInputMessage="1" showErrorMessage="1" sqref="D35:D36 D41:D45 D49:D53 D59 D65 D74 D86:D87 D94 D100 D131" xr:uid="{AA3BCF85-C812-4929-B415-7F15A6751EF0}">
      <formula1>INDIRECT("Resources!$H$1:$I$1")</formula1>
    </dataValidation>
    <dataValidation type="list" allowBlank="1" showInputMessage="1" showErrorMessage="1" sqref="D39:D40 D43:D44" xr:uid="{AA22ED23-5C62-40C7-89F8-B9B06C95FF04}">
      <formula1>INDIRECT("Resources!$G$1:$H$1")</formula1>
    </dataValidation>
    <dataValidation type="list" allowBlank="1" showInputMessage="1" showErrorMessage="1" sqref="E101:E104 E132:E135" xr:uid="{BB720BD6-FBA4-4EFE-827E-A994249BCF17}">
      <formula1>#REF!</formula1>
    </dataValidation>
  </dataValidations>
  <hyperlinks>
    <hyperlink ref="B33" r:id="rId1" xr:uid="{CAB4B485-DAAC-4423-A226-FA4844A07718}"/>
    <hyperlink ref="B39" r:id="rId2" xr:uid="{A08EE3E9-CA3F-4D1E-9D85-9196EA42B179}"/>
    <hyperlink ref="B43" r:id="rId3" xr:uid="{520D37D9-8DA1-418C-80B8-24C2851E3AC9}"/>
    <hyperlink ref="B45" r:id="rId4" display="Terraform Variable" xr:uid="{AE6B51D0-0059-4F6F-A6B6-3F95C4426FDD}"/>
    <hyperlink ref="B47" r:id="rId5" xr:uid="{6780433B-B5E4-4BF0-977C-02A54EDA3C52}"/>
    <hyperlink ref="B57" r:id="rId6" xr:uid="{FB2D0FCD-9D97-4112-BD77-AFC168EEBE9C}"/>
    <hyperlink ref="B62" r:id="rId7" xr:uid="{34B0D92E-F98F-493B-935C-ABC9ADAE0727}"/>
    <hyperlink ref="B71" r:id="rId8" xr:uid="{327280D6-52AB-4FCA-B503-D5F21551EAF2}"/>
    <hyperlink ref="B85" r:id="rId9" xr:uid="{021FD003-5A01-44DE-A4E0-9C1404837E72}"/>
    <hyperlink ref="B92" r:id="rId10" xr:uid="{4E2C6AD7-DC58-45D7-BD8F-29936C41A511}"/>
    <hyperlink ref="B97" r:id="rId11" xr:uid="{35AB21C2-32BC-4837-9C55-1C5C497E27EA}"/>
    <hyperlink ref="B128" r:id="rId12" xr:uid="{0172A76D-BA00-4E97-A73B-EADAFBD89E38}"/>
    <hyperlink ref="B152" r:id="rId13" xr:uid="{A64B5000-F4D9-430D-9F5E-166F81C2AFF2}"/>
    <hyperlink ref="B121" r:id="rId14" xr:uid="{0E0AC1C0-F131-488F-AA04-A5F463D9C2B1}"/>
    <hyperlink ref="C12" r:id="rId15" display="https://lucid.app/lucidchart/f20058ac-4b33-4f6c-8aa6-61c0c891846b/edit?invitationId=inv_c2b85769-8a33-463f-8bf9-c88803878341&amp;page=0_0" xr:uid="{E35BC003-6B8D-4E42-B75F-3874CC31B3C9}"/>
  </hyperlinks>
  <pageMargins left="0.7" right="0.7" top="0.75" bottom="0.75" header="0.3" footer="0.3"/>
  <pageSetup orientation="portrait" horizontalDpi="200" verticalDpi="200" r:id="rId16"/>
  <drawing r:id="rId17"/>
  <legacyDrawing r:id="rId18"/>
  <mc:AlternateContent xmlns:mc="http://schemas.openxmlformats.org/markup-compatibility/2006">
    <mc:Choice Requires="x14">
      <controls>
        <mc:AlternateContent xmlns:mc="http://schemas.openxmlformats.org/markup-compatibility/2006">
          <mc:Choice Requires="x14">
            <control shapeId="4098" r:id="rId19" name="Button 2">
              <controlPr defaultSize="0" print="0" autoFill="0" autoPict="0" macro="[0]!Sheet1.AddTableBasedOnSelection">
                <anchor moveWithCells="1">
                  <from>
                    <xdr:col>1</xdr:col>
                    <xdr:colOff>641350</xdr:colOff>
                    <xdr:row>0</xdr:row>
                    <xdr:rowOff>12700</xdr:rowOff>
                  </from>
                  <to>
                    <xdr:col>1</xdr:col>
                    <xdr:colOff>1238250</xdr:colOff>
                    <xdr:row>0</xdr:row>
                    <xdr:rowOff>209550</xdr:rowOff>
                  </to>
                </anchor>
              </controlPr>
            </control>
          </mc:Choice>
        </mc:AlternateContent>
        <mc:AlternateContent xmlns:mc="http://schemas.openxmlformats.org/markup-compatibility/2006">
          <mc:Choice Requires="x14">
            <control shapeId="4129" r:id="rId20" name="Button 33">
              <controlPr defaultSize="0" print="0" autoFill="0" autoPict="0" macro="[0]!Sheet1.RemoveLastTable">
                <anchor moveWithCells="1">
                  <from>
                    <xdr:col>1</xdr:col>
                    <xdr:colOff>1289050</xdr:colOff>
                    <xdr:row>0</xdr:row>
                    <xdr:rowOff>12700</xdr:rowOff>
                  </from>
                  <to>
                    <xdr:col>2</xdr:col>
                    <xdr:colOff>0</xdr:colOff>
                    <xdr:row>0</xdr:row>
                    <xdr:rowOff>209550</xdr:rowOff>
                  </to>
                </anchor>
              </controlPr>
            </control>
          </mc:Choice>
        </mc:AlternateContent>
      </controls>
    </mc:Choice>
  </mc:AlternateContent>
  <tableParts count="14">
    <tablePart r:id="rId21"/>
    <tablePart r:id="rId22"/>
    <tablePart r:id="rId23"/>
    <tablePart r:id="rId24"/>
    <tablePart r:id="rId25"/>
    <tablePart r:id="rId26"/>
    <tablePart r:id="rId27"/>
    <tablePart r:id="rId28"/>
    <tablePart r:id="rId29"/>
    <tablePart r:id="rId30"/>
    <tablePart r:id="rId31"/>
    <tablePart r:id="rId32"/>
    <tablePart r:id="rId33"/>
    <tablePart r:id="rId34"/>
  </tableParts>
  <extLst>
    <ext xmlns:x14="http://schemas.microsoft.com/office/spreadsheetml/2009/9/main" uri="{CCE6A557-97BC-4b89-ADB6-D9C93CAAB3DF}">
      <x14:dataValidations xmlns:xm="http://schemas.microsoft.com/office/excel/2006/main" count="1">
        <x14:dataValidation type="list" allowBlank="1" showInputMessage="1" showErrorMessage="1" xr:uid="{C22E7DE7-EAC6-4D64-B5F6-E9F7EB2A9D44}">
          <x14:formula1>
            <xm:f>'Resource Options'!$A$1:$A$42</xm:f>
          </x14:formula1>
          <xm:sqref>A1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45F8C-E5FC-4A44-8F90-7B96DFB2E864}">
  <sheetPr codeName="Sheet1"/>
  <dimension ref="A1:AS474"/>
  <sheetViews>
    <sheetView topLeftCell="A79" zoomScaleNormal="100" workbookViewId="0">
      <selection activeCell="L106" sqref="L106"/>
    </sheetView>
  </sheetViews>
  <sheetFormatPr defaultRowHeight="14.5" x14ac:dyDescent="0.35"/>
  <cols>
    <col min="1" max="1" width="29.26953125" style="4" customWidth="1"/>
    <col min="2" max="2" width="48" bestFit="1" customWidth="1"/>
    <col min="3" max="3" width="23.54296875" style="7" customWidth="1"/>
    <col min="4" max="4" width="10.54296875" customWidth="1"/>
    <col min="5" max="5" width="12.54296875" customWidth="1"/>
    <col min="6" max="6" width="10.54296875" customWidth="1"/>
    <col min="7" max="7" width="36.1796875" hidden="1" customWidth="1"/>
    <col min="8" max="8" width="41.7265625" style="63" customWidth="1"/>
    <col min="9" max="9" width="33.54296875" style="63" customWidth="1"/>
    <col min="10" max="10" width="29" style="63" bestFit="1" customWidth="1"/>
    <col min="11" max="11" width="25" style="63" bestFit="1" customWidth="1"/>
    <col min="12" max="12" width="18.453125" style="63" bestFit="1" customWidth="1"/>
    <col min="13" max="14" width="17.7265625" style="64" bestFit="1" customWidth="1"/>
    <col min="15" max="15" width="16.26953125" style="64" bestFit="1" customWidth="1"/>
    <col min="16" max="16" width="46" style="64" bestFit="1" customWidth="1"/>
    <col min="17" max="17" width="4.81640625" style="64" bestFit="1" customWidth="1"/>
  </cols>
  <sheetData>
    <row r="1" spans="1:11" x14ac:dyDescent="0.35">
      <c r="A1" s="4" t="s">
        <v>201</v>
      </c>
      <c r="H1" s="66" t="s">
        <v>75</v>
      </c>
      <c r="I1" s="66" t="s">
        <v>71</v>
      </c>
      <c r="J1" s="67"/>
      <c r="K1" s="67"/>
    </row>
    <row r="2" spans="1:11" x14ac:dyDescent="0.35">
      <c r="A2" s="10" t="s">
        <v>3</v>
      </c>
      <c r="B2" s="11" t="s">
        <v>4</v>
      </c>
      <c r="C2" s="12" t="s">
        <v>5</v>
      </c>
      <c r="D2" s="11" t="s">
        <v>6</v>
      </c>
      <c r="E2" s="11" t="s">
        <v>7</v>
      </c>
      <c r="F2" s="1"/>
      <c r="G2" s="1" t="s">
        <v>202</v>
      </c>
      <c r="H2" s="67"/>
      <c r="I2" s="67"/>
      <c r="J2" s="67"/>
      <c r="K2" s="67"/>
    </row>
    <row r="3" spans="1:11" x14ac:dyDescent="0.35">
      <c r="A3" s="2" t="s">
        <v>8</v>
      </c>
      <c r="B3" s="1"/>
      <c r="C3" s="8"/>
      <c r="D3" s="1"/>
      <c r="E3" s="1"/>
      <c r="F3" s="1"/>
      <c r="G3" s="1" t="s">
        <v>203</v>
      </c>
      <c r="H3" s="67"/>
      <c r="I3" s="67"/>
      <c r="J3" s="67"/>
      <c r="K3" s="67"/>
    </row>
    <row r="4" spans="1:11" x14ac:dyDescent="0.35">
      <c r="A4" s="2" t="s">
        <v>10</v>
      </c>
      <c r="B4" s="1"/>
      <c r="C4" s="8"/>
      <c r="D4" s="1"/>
      <c r="E4" s="1"/>
      <c r="F4" s="1"/>
      <c r="G4" s="1" t="s">
        <v>203</v>
      </c>
      <c r="H4" s="67"/>
      <c r="I4" s="67"/>
      <c r="J4" s="67"/>
      <c r="K4" s="67"/>
    </row>
    <row r="5" spans="1:11" x14ac:dyDescent="0.35">
      <c r="A5" s="2" t="s">
        <v>12</v>
      </c>
      <c r="C5" s="8"/>
      <c r="D5" s="1"/>
      <c r="E5" s="1"/>
      <c r="F5" s="1"/>
      <c r="G5" s="1" t="s">
        <v>203</v>
      </c>
      <c r="H5" s="67"/>
      <c r="I5" s="67"/>
      <c r="J5" s="67"/>
      <c r="K5" s="67"/>
    </row>
    <row r="6" spans="1:11" x14ac:dyDescent="0.35">
      <c r="A6" s="2" t="s">
        <v>14</v>
      </c>
      <c r="C6" s="8"/>
      <c r="D6" s="1"/>
      <c r="E6" s="1"/>
      <c r="F6" s="1"/>
      <c r="G6" s="1" t="s">
        <v>204</v>
      </c>
      <c r="H6" s="67"/>
      <c r="I6" s="67"/>
      <c r="J6" s="67"/>
      <c r="K6" s="67"/>
    </row>
    <row r="7" spans="1:11" x14ac:dyDescent="0.35">
      <c r="A7" s="2" t="s">
        <v>16</v>
      </c>
      <c r="C7" s="8"/>
      <c r="D7" s="1"/>
      <c r="E7" s="1"/>
      <c r="F7" s="1"/>
      <c r="G7" s="1" t="s">
        <v>205</v>
      </c>
      <c r="H7" s="67"/>
      <c r="I7" s="67"/>
      <c r="J7" s="67"/>
      <c r="K7" s="67"/>
    </row>
    <row r="8" spans="1:11" x14ac:dyDescent="0.35">
      <c r="A8" s="2" t="s">
        <v>18</v>
      </c>
      <c r="C8" s="8"/>
      <c r="D8" s="1"/>
      <c r="E8" s="1"/>
      <c r="F8" s="1"/>
      <c r="G8" s="1" t="s">
        <v>205</v>
      </c>
      <c r="H8" s="67"/>
      <c r="I8" s="67"/>
      <c r="J8" s="67"/>
      <c r="K8" s="67"/>
    </row>
    <row r="9" spans="1:11" x14ac:dyDescent="0.35">
      <c r="A9" s="2" t="s">
        <v>19</v>
      </c>
      <c r="C9" s="8"/>
      <c r="D9" s="1"/>
      <c r="E9" s="1"/>
      <c r="F9" s="1"/>
      <c r="G9" s="1" t="s">
        <v>205</v>
      </c>
      <c r="H9" s="67"/>
      <c r="I9" s="67"/>
      <c r="J9" s="67"/>
      <c r="K9" s="67"/>
    </row>
    <row r="10" spans="1:11" x14ac:dyDescent="0.35">
      <c r="A10" s="24" t="s">
        <v>20</v>
      </c>
      <c r="B10" s="1"/>
      <c r="C10" s="8"/>
      <c r="D10" s="1"/>
      <c r="E10" s="1"/>
      <c r="F10" s="1"/>
      <c r="G10" s="1" t="s">
        <v>204</v>
      </c>
      <c r="H10" s="67"/>
      <c r="I10" s="67"/>
      <c r="J10" s="67"/>
      <c r="K10" s="67"/>
    </row>
    <row r="11" spans="1:11" x14ac:dyDescent="0.35">
      <c r="A11" s="2" t="s">
        <v>21</v>
      </c>
      <c r="B11" s="1"/>
      <c r="C11" s="19"/>
      <c r="D11" s="1"/>
      <c r="E11" s="1"/>
      <c r="F11" s="1"/>
      <c r="G11" s="1" t="s">
        <v>204</v>
      </c>
      <c r="H11" s="67"/>
      <c r="I11" s="67"/>
      <c r="J11" s="67"/>
      <c r="K11" s="67"/>
    </row>
    <row r="12" spans="1:11" x14ac:dyDescent="0.35">
      <c r="A12" s="2" t="s">
        <v>23</v>
      </c>
      <c r="B12" s="1"/>
      <c r="C12" s="19"/>
      <c r="D12" s="1"/>
      <c r="E12" s="1"/>
      <c r="F12" s="1"/>
      <c r="G12" s="1" t="s">
        <v>204</v>
      </c>
      <c r="H12" s="67"/>
      <c r="I12" s="67"/>
      <c r="J12" s="67"/>
      <c r="K12" s="67"/>
    </row>
    <row r="13" spans="1:11" x14ac:dyDescent="0.35">
      <c r="A13" s="2" t="s">
        <v>25</v>
      </c>
      <c r="B13" s="1"/>
      <c r="C13" s="8"/>
      <c r="D13" s="1"/>
      <c r="E13" s="1"/>
      <c r="F13" s="1"/>
      <c r="G13" s="1" t="s">
        <v>206</v>
      </c>
      <c r="H13" s="66" t="s">
        <v>207</v>
      </c>
      <c r="I13" s="66" t="s">
        <v>208</v>
      </c>
      <c r="J13" s="66" t="s">
        <v>209</v>
      </c>
      <c r="K13" s="66" t="s">
        <v>210</v>
      </c>
    </row>
    <row r="14" spans="1:11" x14ac:dyDescent="0.35">
      <c r="A14" s="2" t="s">
        <v>27</v>
      </c>
      <c r="B14" s="1"/>
      <c r="C14" s="8"/>
      <c r="D14" s="1"/>
      <c r="E14" s="1"/>
      <c r="F14" s="1"/>
      <c r="G14" s="1" t="s">
        <v>204</v>
      </c>
      <c r="H14" s="66" t="s">
        <v>75</v>
      </c>
      <c r="I14" s="66" t="s">
        <v>71</v>
      </c>
      <c r="J14" s="67"/>
      <c r="K14" s="67"/>
    </row>
    <row r="15" spans="1:11" x14ac:dyDescent="0.35">
      <c r="A15" s="2" t="s">
        <v>29</v>
      </c>
      <c r="B15" s="1"/>
      <c r="C15" s="8"/>
      <c r="D15" s="1"/>
      <c r="E15" s="1"/>
      <c r="F15" s="1"/>
      <c r="G15" s="1" t="s">
        <v>204</v>
      </c>
      <c r="H15" s="66" t="s">
        <v>211</v>
      </c>
      <c r="I15" s="66" t="s">
        <v>212</v>
      </c>
      <c r="J15" s="66" t="s">
        <v>213</v>
      </c>
      <c r="K15" s="66" t="s">
        <v>214</v>
      </c>
    </row>
    <row r="16" spans="1:11" ht="29" x14ac:dyDescent="0.35">
      <c r="A16" s="2" t="s">
        <v>30</v>
      </c>
      <c r="B16" s="1"/>
      <c r="C16" s="8"/>
      <c r="D16" s="1"/>
      <c r="E16" s="1"/>
      <c r="F16" s="1"/>
      <c r="G16" s="1" t="s">
        <v>204</v>
      </c>
      <c r="H16" s="66" t="s">
        <v>75</v>
      </c>
      <c r="I16" s="66" t="s">
        <v>71</v>
      </c>
      <c r="J16" s="67"/>
      <c r="K16" s="67"/>
    </row>
    <row r="17" spans="1:17" ht="29" x14ac:dyDescent="0.35">
      <c r="A17" s="2" t="s">
        <v>31</v>
      </c>
      <c r="B17" s="1"/>
      <c r="C17" s="8"/>
      <c r="D17" s="1"/>
      <c r="E17" s="1"/>
      <c r="F17" s="1"/>
      <c r="G17" s="1" t="s">
        <v>203</v>
      </c>
      <c r="H17" s="66" t="s">
        <v>75</v>
      </c>
      <c r="I17" s="66" t="s">
        <v>71</v>
      </c>
      <c r="J17" s="67"/>
      <c r="K17" s="67"/>
      <c r="L17" s="67"/>
      <c r="M17" s="68"/>
      <c r="N17" s="68"/>
      <c r="O17" s="68"/>
      <c r="P17" s="68"/>
      <c r="Q17" s="68"/>
    </row>
    <row r="18" spans="1:17" ht="57" customHeight="1" x14ac:dyDescent="0.35">
      <c r="A18" s="2" t="s">
        <v>33</v>
      </c>
      <c r="B18" s="1"/>
      <c r="C18" s="8"/>
      <c r="D18" s="1"/>
      <c r="E18" s="1"/>
      <c r="F18" s="1"/>
      <c r="G18" s="1" t="s">
        <v>203</v>
      </c>
      <c r="H18" s="67"/>
      <c r="I18" s="67"/>
      <c r="J18" s="67"/>
      <c r="K18" s="67"/>
      <c r="L18" s="67"/>
      <c r="M18" s="68"/>
      <c r="N18" s="68"/>
      <c r="O18" s="68"/>
      <c r="P18" s="68"/>
      <c r="Q18" s="68"/>
    </row>
    <row r="19" spans="1:17" x14ac:dyDescent="0.35">
      <c r="A19" s="2" t="s">
        <v>34</v>
      </c>
      <c r="B19" s="5" t="s">
        <v>35</v>
      </c>
      <c r="C19" s="8"/>
      <c r="D19" s="1"/>
      <c r="E19" s="1"/>
      <c r="F19" s="1"/>
      <c r="G19" s="1" t="s">
        <v>215</v>
      </c>
      <c r="H19" s="67" t="s">
        <v>216</v>
      </c>
      <c r="I19" s="67"/>
      <c r="J19" s="67"/>
      <c r="K19" s="67"/>
      <c r="L19" s="67"/>
      <c r="M19" s="68"/>
      <c r="N19" s="68"/>
      <c r="O19" s="68"/>
      <c r="P19" s="68"/>
      <c r="Q19" s="68"/>
    </row>
    <row r="20" spans="1:17" x14ac:dyDescent="0.35">
      <c r="A20" s="2" t="s">
        <v>36</v>
      </c>
      <c r="B20" s="5" t="s">
        <v>37</v>
      </c>
      <c r="C20" s="8"/>
      <c r="D20" s="1"/>
      <c r="E20" s="1"/>
      <c r="F20" s="1"/>
      <c r="G20" s="1" t="s">
        <v>217</v>
      </c>
      <c r="H20" s="67"/>
      <c r="I20" s="67"/>
      <c r="J20" s="67"/>
      <c r="K20" s="67"/>
      <c r="L20" s="67"/>
      <c r="M20" s="68"/>
      <c r="N20" s="68"/>
      <c r="O20" s="68"/>
      <c r="P20" s="68"/>
      <c r="Q20" s="68"/>
    </row>
    <row r="21" spans="1:17" x14ac:dyDescent="0.35">
      <c r="A21" s="2" t="s">
        <v>39</v>
      </c>
      <c r="B21" s="5" t="s">
        <v>40</v>
      </c>
      <c r="C21" s="8"/>
      <c r="D21" s="1"/>
      <c r="E21" s="1"/>
      <c r="F21" s="1"/>
      <c r="G21" s="1" t="s">
        <v>218</v>
      </c>
      <c r="H21" s="66" t="s">
        <v>219</v>
      </c>
      <c r="I21" s="66" t="s">
        <v>220</v>
      </c>
      <c r="J21" s="66" t="s">
        <v>221</v>
      </c>
      <c r="K21" s="66" t="s">
        <v>222</v>
      </c>
      <c r="L21" s="66" t="s">
        <v>41</v>
      </c>
      <c r="M21" s="68"/>
      <c r="N21" s="68"/>
      <c r="O21" s="68"/>
      <c r="P21" s="68"/>
      <c r="Q21" s="68"/>
    </row>
    <row r="22" spans="1:17" x14ac:dyDescent="0.35">
      <c r="A22" s="2" t="s">
        <v>42</v>
      </c>
      <c r="B22" s="5" t="s">
        <v>43</v>
      </c>
      <c r="C22" s="8"/>
      <c r="D22" s="1"/>
      <c r="E22" s="1"/>
      <c r="F22" s="1"/>
      <c r="G22" s="1" t="s">
        <v>205</v>
      </c>
      <c r="H22" s="66" t="s">
        <v>44</v>
      </c>
      <c r="I22" s="66" t="s">
        <v>223</v>
      </c>
      <c r="J22" s="66" t="s">
        <v>224</v>
      </c>
      <c r="K22" s="66" t="s">
        <v>225</v>
      </c>
      <c r="L22" s="66" t="s">
        <v>226</v>
      </c>
      <c r="M22" s="68"/>
      <c r="N22" s="68"/>
      <c r="O22" s="68"/>
      <c r="P22" s="68"/>
      <c r="Q22" s="68"/>
    </row>
    <row r="23" spans="1:17" x14ac:dyDescent="0.35">
      <c r="A23" s="2" t="s">
        <v>45</v>
      </c>
      <c r="B23" s="5" t="s">
        <v>46</v>
      </c>
      <c r="C23" s="8"/>
      <c r="D23" s="1"/>
      <c r="E23" s="1"/>
      <c r="F23" s="1"/>
      <c r="G23" s="1" t="s">
        <v>227</v>
      </c>
      <c r="H23" s="67"/>
      <c r="I23" s="67"/>
      <c r="J23" s="67"/>
      <c r="K23" s="67"/>
      <c r="L23" s="67"/>
      <c r="M23" s="68"/>
      <c r="N23" s="68"/>
      <c r="O23" s="68"/>
      <c r="P23" s="68"/>
      <c r="Q23" s="68"/>
    </row>
    <row r="24" spans="1:17" x14ac:dyDescent="0.35">
      <c r="A24" s="2" t="s">
        <v>47</v>
      </c>
      <c r="B24" s="5" t="s">
        <v>48</v>
      </c>
      <c r="C24" s="106"/>
      <c r="D24" s="1"/>
      <c r="E24" s="1"/>
      <c r="F24" s="1"/>
      <c r="G24" s="1" t="s">
        <v>205</v>
      </c>
      <c r="H24" s="67" t="s">
        <v>228</v>
      </c>
      <c r="I24" s="67"/>
      <c r="J24" s="67"/>
      <c r="K24" s="67"/>
      <c r="L24" s="67"/>
      <c r="M24" s="68"/>
      <c r="N24" s="68"/>
      <c r="O24" s="68"/>
      <c r="P24" s="68"/>
      <c r="Q24" s="68"/>
    </row>
    <row r="25" spans="1:17" x14ac:dyDescent="0.35">
      <c r="A25" s="2" t="s">
        <v>49</v>
      </c>
      <c r="B25" s="5" t="s">
        <v>50</v>
      </c>
      <c r="C25" s="8"/>
      <c r="D25" s="1"/>
      <c r="E25" s="1"/>
      <c r="F25" s="1"/>
      <c r="G25" s="1" t="s">
        <v>205</v>
      </c>
      <c r="H25" s="67"/>
      <c r="I25" s="67"/>
      <c r="J25" s="67"/>
      <c r="K25" s="67"/>
      <c r="L25" s="67"/>
      <c r="M25" s="68"/>
      <c r="N25" s="68"/>
      <c r="O25" s="68"/>
      <c r="P25" s="68"/>
      <c r="Q25" s="68"/>
    </row>
    <row r="26" spans="1:17" x14ac:dyDescent="0.35">
      <c r="A26" s="2" t="s">
        <v>52</v>
      </c>
      <c r="B26" s="53" t="s">
        <v>53</v>
      </c>
      <c r="C26" s="8"/>
      <c r="D26" s="1"/>
      <c r="E26" s="1"/>
      <c r="F26" s="1"/>
      <c r="G26" s="1"/>
      <c r="H26" s="67"/>
      <c r="I26" s="67"/>
      <c r="J26" s="67"/>
      <c r="K26" s="67"/>
      <c r="L26" s="67"/>
      <c r="M26" s="68"/>
      <c r="N26" s="68"/>
      <c r="O26" s="68"/>
      <c r="P26" s="68"/>
      <c r="Q26" s="68"/>
    </row>
    <row r="27" spans="1:17" x14ac:dyDescent="0.35">
      <c r="A27" s="2" t="s">
        <v>54</v>
      </c>
      <c r="B27" s="5" t="s">
        <v>55</v>
      </c>
      <c r="C27" s="8"/>
      <c r="D27" s="1"/>
      <c r="E27" s="1"/>
      <c r="F27" s="1"/>
      <c r="G27" s="1" t="s">
        <v>205</v>
      </c>
      <c r="H27" s="66" t="s">
        <v>229</v>
      </c>
      <c r="I27" s="66" t="s">
        <v>230</v>
      </c>
      <c r="J27" s="66" t="s">
        <v>231</v>
      </c>
      <c r="K27" s="67"/>
      <c r="L27" s="67"/>
      <c r="M27" s="68"/>
      <c r="N27" s="68"/>
      <c r="O27" s="68"/>
      <c r="P27" s="68"/>
      <c r="Q27" s="68"/>
    </row>
    <row r="28" spans="1:17" x14ac:dyDescent="0.35">
      <c r="A28" s="2" t="s">
        <v>56</v>
      </c>
      <c r="B28" s="5" t="s">
        <v>57</v>
      </c>
      <c r="C28" s="8"/>
      <c r="D28" s="1"/>
      <c r="E28" s="1"/>
      <c r="F28" s="1"/>
      <c r="G28" s="1" t="s">
        <v>205</v>
      </c>
      <c r="H28" s="67" t="s">
        <v>232</v>
      </c>
      <c r="I28" s="67"/>
      <c r="J28" s="67"/>
      <c r="K28" s="67"/>
      <c r="L28" s="67"/>
      <c r="M28" s="68"/>
      <c r="N28" s="68"/>
      <c r="O28" s="68"/>
      <c r="P28" s="68"/>
      <c r="Q28" s="68"/>
    </row>
    <row r="29" spans="1:17" x14ac:dyDescent="0.35">
      <c r="A29" s="2" t="s">
        <v>58</v>
      </c>
      <c r="B29" s="5" t="s">
        <v>59</v>
      </c>
      <c r="C29" s="8"/>
      <c r="D29" s="1"/>
      <c r="E29" s="1"/>
      <c r="F29" s="1"/>
      <c r="G29" s="1" t="s">
        <v>205</v>
      </c>
      <c r="H29" s="67"/>
      <c r="I29" s="67"/>
      <c r="J29" s="67"/>
      <c r="K29" s="67"/>
      <c r="L29" s="67"/>
      <c r="M29" s="68"/>
      <c r="N29" s="68"/>
      <c r="O29" s="68"/>
      <c r="P29" s="68"/>
      <c r="Q29" s="68"/>
    </row>
    <row r="30" spans="1:17" x14ac:dyDescent="0.35">
      <c r="A30" s="2" t="s">
        <v>60</v>
      </c>
      <c r="B30" s="5" t="s">
        <v>61</v>
      </c>
      <c r="C30" s="8"/>
      <c r="D30" s="1"/>
      <c r="E30" s="1"/>
      <c r="F30" s="1"/>
      <c r="G30" s="1" t="s">
        <v>205</v>
      </c>
      <c r="H30" s="67" t="s">
        <v>228</v>
      </c>
      <c r="I30" s="67"/>
      <c r="J30" s="67"/>
      <c r="K30" s="67"/>
      <c r="L30" s="67"/>
      <c r="M30" s="68"/>
      <c r="N30" s="68"/>
      <c r="O30" s="68"/>
      <c r="P30" s="68"/>
      <c r="Q30" s="68"/>
    </row>
    <row r="31" spans="1:17" x14ac:dyDescent="0.35">
      <c r="A31"/>
      <c r="C31" s="8"/>
      <c r="D31" s="1"/>
      <c r="H31" s="67"/>
      <c r="I31" s="67"/>
      <c r="J31" s="67"/>
      <c r="K31" s="67"/>
      <c r="L31" s="67"/>
      <c r="M31" s="68"/>
      <c r="N31" s="68"/>
      <c r="O31" s="68"/>
      <c r="P31" s="68"/>
      <c r="Q31" s="68"/>
    </row>
    <row r="32" spans="1:17" ht="15" thickBot="1" x14ac:dyDescent="0.4">
      <c r="A32" s="10" t="s">
        <v>64</v>
      </c>
      <c r="B32" s="58" t="s">
        <v>4</v>
      </c>
      <c r="C32" s="12" t="s">
        <v>5</v>
      </c>
      <c r="D32" s="11" t="s">
        <v>6</v>
      </c>
      <c r="E32" s="14" t="s">
        <v>7</v>
      </c>
      <c r="H32" s="67"/>
      <c r="I32" s="67"/>
      <c r="J32" s="67"/>
      <c r="K32" s="67"/>
      <c r="L32" s="67"/>
      <c r="M32" s="68"/>
      <c r="N32" s="68"/>
      <c r="O32" s="68"/>
      <c r="P32" s="68"/>
      <c r="Q32" s="68"/>
    </row>
    <row r="33" spans="1:17" ht="15" thickTop="1" x14ac:dyDescent="0.35">
      <c r="A33" s="3" t="s">
        <v>65</v>
      </c>
      <c r="B33" s="54" t="s">
        <v>66</v>
      </c>
      <c r="C33" s="21" t="s">
        <v>67</v>
      </c>
      <c r="D33" s="1"/>
      <c r="E33" s="1"/>
      <c r="H33" s="67"/>
      <c r="I33" s="67"/>
      <c r="J33" s="67"/>
      <c r="K33" s="67"/>
      <c r="L33" s="67"/>
      <c r="M33" s="68"/>
      <c r="N33" s="68"/>
      <c r="O33" s="68"/>
      <c r="P33" s="68"/>
      <c r="Q33" s="68"/>
    </row>
    <row r="34" spans="1:17" x14ac:dyDescent="0.35">
      <c r="A34" s="2" t="s">
        <v>68</v>
      </c>
      <c r="B34" s="53" t="s">
        <v>69</v>
      </c>
      <c r="C34" s="8"/>
      <c r="D34" s="6"/>
      <c r="E34" s="1"/>
      <c r="H34" s="67"/>
      <c r="I34" s="67"/>
      <c r="J34" s="67"/>
      <c r="K34" s="67"/>
      <c r="L34" s="67"/>
      <c r="M34" s="68"/>
      <c r="N34" s="68"/>
      <c r="O34" s="68"/>
      <c r="P34" s="68"/>
      <c r="Q34" s="68"/>
    </row>
    <row r="35" spans="1:17" x14ac:dyDescent="0.35">
      <c r="A35" s="2" t="s">
        <v>72</v>
      </c>
      <c r="B35" s="1" t="s">
        <v>73</v>
      </c>
      <c r="C35" s="8"/>
      <c r="D35" s="6"/>
      <c r="E35" s="1"/>
      <c r="H35" s="67"/>
      <c r="I35" s="67"/>
      <c r="J35" s="67"/>
      <c r="K35" s="67"/>
      <c r="L35" s="67"/>
      <c r="M35" s="68"/>
      <c r="N35" s="68"/>
      <c r="O35" s="68"/>
      <c r="P35" s="68"/>
      <c r="Q35" s="68"/>
    </row>
    <row r="36" spans="1:17" x14ac:dyDescent="0.35">
      <c r="A36" s="2" t="s">
        <v>76</v>
      </c>
      <c r="B36" s="53" t="s">
        <v>77</v>
      </c>
      <c r="C36" s="8"/>
      <c r="D36" s="1"/>
      <c r="E36" s="1"/>
      <c r="H36" s="66" t="s">
        <v>233</v>
      </c>
      <c r="I36" s="66" t="s">
        <v>234</v>
      </c>
      <c r="J36" s="66" t="s">
        <v>235</v>
      </c>
      <c r="K36" s="67"/>
      <c r="L36" s="67"/>
      <c r="M36" s="68"/>
      <c r="N36" s="68"/>
      <c r="O36" s="68"/>
      <c r="P36" s="68"/>
      <c r="Q36" s="68"/>
    </row>
    <row r="37" spans="1:17" x14ac:dyDescent="0.35">
      <c r="H37" s="7"/>
      <c r="I37" s="67"/>
      <c r="J37" s="67"/>
      <c r="K37" s="67"/>
      <c r="L37" s="67"/>
      <c r="M37" s="68"/>
      <c r="N37" s="68"/>
      <c r="O37" s="68"/>
      <c r="P37" s="68"/>
      <c r="Q37" s="68"/>
    </row>
    <row r="38" spans="1:17" x14ac:dyDescent="0.35">
      <c r="A38" s="10" t="s">
        <v>86</v>
      </c>
      <c r="B38" s="58" t="s">
        <v>4</v>
      </c>
      <c r="C38" s="12" t="s">
        <v>5</v>
      </c>
      <c r="D38" s="11" t="s">
        <v>6</v>
      </c>
      <c r="E38" s="14" t="s">
        <v>7</v>
      </c>
      <c r="H38" s="67"/>
      <c r="I38" s="67"/>
      <c r="J38" s="67"/>
      <c r="K38" s="67"/>
      <c r="L38" s="67"/>
      <c r="M38" s="68"/>
      <c r="N38" s="68"/>
      <c r="O38" s="68"/>
      <c r="P38" s="68"/>
      <c r="Q38" s="68"/>
    </row>
    <row r="39" spans="1:17" x14ac:dyDescent="0.35">
      <c r="A39" s="2" t="s">
        <v>65</v>
      </c>
      <c r="B39" s="53" t="s">
        <v>66</v>
      </c>
      <c r="C39" s="21" t="s">
        <v>87</v>
      </c>
      <c r="D39" s="1"/>
      <c r="E39" s="1"/>
      <c r="H39" s="67"/>
      <c r="I39" s="67"/>
      <c r="J39" s="67"/>
      <c r="K39" s="67"/>
      <c r="L39" s="67"/>
      <c r="M39" s="68"/>
      <c r="N39" s="68"/>
      <c r="O39" s="68"/>
      <c r="P39" s="68"/>
      <c r="Q39" s="68"/>
    </row>
    <row r="40" spans="1:17" x14ac:dyDescent="0.35">
      <c r="A40" s="2" t="s">
        <v>68</v>
      </c>
      <c r="B40" s="53" t="s">
        <v>82</v>
      </c>
      <c r="C40" s="8"/>
      <c r="D40" s="6"/>
      <c r="E40" s="1"/>
      <c r="H40" s="67"/>
      <c r="I40" s="67"/>
      <c r="J40" s="67"/>
      <c r="K40" s="67"/>
      <c r="L40" s="67"/>
      <c r="M40" s="68"/>
      <c r="N40" s="68"/>
      <c r="O40" s="68"/>
      <c r="P40" s="68"/>
      <c r="Q40" s="68"/>
    </row>
    <row r="41" spans="1:17" x14ac:dyDescent="0.35">
      <c r="A41" s="2" t="s">
        <v>89</v>
      </c>
      <c r="B41" s="53" t="s">
        <v>69</v>
      </c>
      <c r="C41" s="8"/>
      <c r="D41" s="6"/>
      <c r="E41" s="1"/>
      <c r="H41" s="67"/>
      <c r="I41" s="67"/>
      <c r="J41" s="67"/>
      <c r="K41" s="67"/>
      <c r="L41" s="67"/>
      <c r="M41" s="68"/>
      <c r="N41" s="68"/>
      <c r="O41" s="68"/>
      <c r="P41" s="68"/>
      <c r="Q41" s="68"/>
    </row>
    <row r="42" spans="1:17" x14ac:dyDescent="0.35">
      <c r="A42" s="2" t="s">
        <v>91</v>
      </c>
      <c r="B42" s="53" t="s">
        <v>92</v>
      </c>
      <c r="C42" s="8"/>
      <c r="D42" s="6"/>
      <c r="E42" s="1"/>
      <c r="H42" s="67"/>
      <c r="I42" s="67"/>
      <c r="J42" s="67"/>
      <c r="K42" s="67"/>
      <c r="L42" s="67"/>
      <c r="M42" s="68"/>
      <c r="N42" s="68"/>
      <c r="O42" s="68"/>
      <c r="P42" s="68"/>
      <c r="Q42" s="68"/>
    </row>
    <row r="43" spans="1:17" x14ac:dyDescent="0.35">
      <c r="A43" s="2" t="s">
        <v>94</v>
      </c>
      <c r="B43" s="53" t="s">
        <v>95</v>
      </c>
      <c r="C43" s="8"/>
      <c r="D43" s="6"/>
      <c r="E43" s="1"/>
      <c r="H43" s="67"/>
      <c r="I43" s="67"/>
      <c r="J43" s="67"/>
      <c r="K43" s="67"/>
      <c r="L43" s="67"/>
      <c r="M43" s="68"/>
      <c r="N43" s="68"/>
      <c r="O43" s="68"/>
      <c r="P43" s="68"/>
      <c r="Q43" s="68"/>
    </row>
    <row r="44" spans="1:17" x14ac:dyDescent="0.35">
      <c r="A44" s="2" t="s">
        <v>97</v>
      </c>
      <c r="B44" s="53" t="s">
        <v>98</v>
      </c>
      <c r="C44" s="8"/>
      <c r="D44" s="6"/>
      <c r="E44" s="1"/>
      <c r="H44" s="67"/>
      <c r="I44" s="67"/>
      <c r="J44" s="67"/>
      <c r="K44" s="67"/>
      <c r="L44" s="67"/>
      <c r="M44" s="68"/>
      <c r="N44" s="68"/>
      <c r="O44" s="68"/>
      <c r="P44" s="68"/>
      <c r="Q44" s="68"/>
    </row>
    <row r="45" spans="1:17" x14ac:dyDescent="0.35">
      <c r="A45" s="2" t="s">
        <v>100</v>
      </c>
      <c r="B45" s="53" t="s">
        <v>101</v>
      </c>
      <c r="C45" s="8"/>
      <c r="D45" s="1"/>
      <c r="E45" s="1"/>
      <c r="H45" s="67"/>
      <c r="I45" s="67"/>
      <c r="J45" s="67"/>
      <c r="K45" s="67"/>
      <c r="L45" s="67"/>
      <c r="M45" s="68"/>
      <c r="N45" s="68"/>
      <c r="O45" s="68"/>
      <c r="P45" s="68"/>
      <c r="Q45" s="68"/>
    </row>
    <row r="46" spans="1:17" x14ac:dyDescent="0.35">
      <c r="A46" s="2" t="s">
        <v>103</v>
      </c>
      <c r="B46" s="53" t="s">
        <v>104</v>
      </c>
      <c r="C46" s="8" t="s">
        <v>105</v>
      </c>
      <c r="D46" s="1"/>
      <c r="E46" s="1"/>
      <c r="H46" s="67"/>
      <c r="I46" s="67"/>
      <c r="J46" s="67"/>
      <c r="K46" s="67"/>
      <c r="L46" s="67"/>
      <c r="M46" s="68"/>
      <c r="N46" s="68"/>
      <c r="O46" s="68"/>
      <c r="P46" s="68"/>
      <c r="Q46" s="68"/>
    </row>
    <row r="47" spans="1:17" x14ac:dyDescent="0.35">
      <c r="A47" s="2"/>
      <c r="B47" s="1"/>
      <c r="C47" s="8"/>
      <c r="E47" s="1"/>
      <c r="H47" s="67"/>
      <c r="I47" s="67"/>
      <c r="J47" s="67"/>
      <c r="K47" s="67"/>
      <c r="L47" s="67"/>
      <c r="M47" s="68"/>
      <c r="N47" s="68"/>
      <c r="O47" s="68"/>
      <c r="P47" s="68"/>
      <c r="Q47" s="68"/>
    </row>
    <row r="48" spans="1:17" x14ac:dyDescent="0.35">
      <c r="A48" s="10" t="s">
        <v>79</v>
      </c>
      <c r="B48" s="58" t="s">
        <v>4</v>
      </c>
      <c r="C48" s="12" t="s">
        <v>5</v>
      </c>
      <c r="D48" s="11" t="s">
        <v>6</v>
      </c>
      <c r="E48" s="14" t="s">
        <v>7</v>
      </c>
      <c r="H48" s="67"/>
      <c r="I48" s="67"/>
      <c r="J48" s="67"/>
      <c r="K48" s="67"/>
      <c r="L48" s="67"/>
      <c r="M48" s="68"/>
      <c r="N48" s="68"/>
      <c r="O48" s="68"/>
      <c r="P48" s="68"/>
      <c r="Q48" s="68"/>
    </row>
    <row r="49" spans="1:17" x14ac:dyDescent="0.35">
      <c r="A49" s="2" t="s">
        <v>65</v>
      </c>
      <c r="B49" s="53" t="s">
        <v>66</v>
      </c>
      <c r="C49" s="21" t="s">
        <v>236</v>
      </c>
      <c r="D49" s="1"/>
      <c r="E49" s="1"/>
      <c r="H49" s="67"/>
      <c r="I49" s="67"/>
      <c r="J49" s="67"/>
      <c r="K49" s="67"/>
      <c r="L49" s="67"/>
      <c r="M49" s="68"/>
      <c r="N49" s="68"/>
      <c r="O49" s="68"/>
      <c r="P49" s="68"/>
      <c r="Q49" s="68"/>
    </row>
    <row r="50" spans="1:17" x14ac:dyDescent="0.35">
      <c r="A50" s="2" t="s">
        <v>81</v>
      </c>
      <c r="B50" s="53" t="s">
        <v>82</v>
      </c>
      <c r="C50" s="8"/>
      <c r="D50" s="6"/>
      <c r="E50" s="1"/>
      <c r="H50" s="67"/>
      <c r="I50" s="67"/>
      <c r="J50" s="67"/>
      <c r="K50" s="67"/>
      <c r="L50" s="67"/>
      <c r="M50" s="68"/>
      <c r="N50" s="68"/>
      <c r="O50" s="68"/>
      <c r="P50" s="68"/>
      <c r="Q50" s="68"/>
    </row>
    <row r="51" spans="1:17" x14ac:dyDescent="0.35">
      <c r="A51" s="2"/>
      <c r="B51" s="1"/>
      <c r="C51" s="8"/>
      <c r="E51" s="1"/>
      <c r="H51" s="67"/>
      <c r="I51" s="67"/>
      <c r="J51" s="67"/>
      <c r="K51" s="67"/>
      <c r="L51" s="67"/>
      <c r="M51" s="68"/>
      <c r="N51" s="68"/>
      <c r="O51" s="68"/>
      <c r="P51" s="68"/>
      <c r="Q51" s="68"/>
    </row>
    <row r="52" spans="1:17" ht="15" thickBot="1" x14ac:dyDescent="0.4">
      <c r="A52" s="10" t="s">
        <v>237</v>
      </c>
      <c r="B52" s="58" t="s">
        <v>4</v>
      </c>
      <c r="C52" s="12" t="s">
        <v>5</v>
      </c>
      <c r="D52" s="11" t="s">
        <v>6</v>
      </c>
      <c r="E52" s="14" t="s">
        <v>7</v>
      </c>
      <c r="H52" s="67"/>
      <c r="I52" s="67"/>
      <c r="J52" s="67"/>
      <c r="K52" s="67"/>
      <c r="L52" s="67"/>
      <c r="M52" s="68"/>
      <c r="N52" s="68"/>
      <c r="O52" s="68"/>
      <c r="P52" s="68"/>
      <c r="Q52" s="68"/>
    </row>
    <row r="53" spans="1:17" ht="15" thickTop="1" x14ac:dyDescent="0.35">
      <c r="A53" s="2" t="s">
        <v>238</v>
      </c>
      <c r="B53" s="53" t="s">
        <v>69</v>
      </c>
      <c r="C53" s="23"/>
      <c r="D53" s="6"/>
      <c r="E53" s="1"/>
      <c r="H53" s="67"/>
      <c r="I53" s="67"/>
      <c r="J53" s="67"/>
      <c r="K53" s="67"/>
      <c r="L53" s="67"/>
      <c r="M53" s="68"/>
      <c r="N53" s="68"/>
      <c r="O53" s="68"/>
      <c r="P53" s="68"/>
      <c r="Q53" s="68"/>
    </row>
    <row r="54" spans="1:17" x14ac:dyDescent="0.35">
      <c r="A54" s="2" t="s">
        <v>94</v>
      </c>
      <c r="B54" s="53" t="s">
        <v>95</v>
      </c>
      <c r="C54" s="75"/>
      <c r="D54" s="6"/>
      <c r="E54" s="1"/>
      <c r="H54" s="67"/>
      <c r="I54" s="67"/>
      <c r="J54" s="67"/>
      <c r="K54" s="67"/>
      <c r="L54" s="67"/>
      <c r="M54" s="68"/>
      <c r="N54" s="68"/>
      <c r="O54" s="68"/>
      <c r="P54" s="68"/>
      <c r="Q54" s="68"/>
    </row>
    <row r="55" spans="1:17" x14ac:dyDescent="0.35">
      <c r="A55" s="2" t="s">
        <v>239</v>
      </c>
      <c r="B55" s="53" t="s">
        <v>240</v>
      </c>
      <c r="C55" s="23" t="s">
        <v>241</v>
      </c>
      <c r="E55" s="1"/>
      <c r="H55" s="67"/>
      <c r="I55" s="67"/>
      <c r="J55" s="67"/>
      <c r="K55" s="67"/>
      <c r="L55" s="67"/>
      <c r="M55" s="68"/>
      <c r="N55" s="68"/>
      <c r="O55" s="68"/>
      <c r="P55" s="68"/>
      <c r="Q55" s="68"/>
    </row>
    <row r="56" spans="1:17" x14ac:dyDescent="0.35">
      <c r="H56" s="67"/>
      <c r="I56" s="67"/>
      <c r="J56" s="67"/>
      <c r="K56" s="67"/>
      <c r="L56" s="67"/>
      <c r="M56" s="68"/>
      <c r="N56" s="68"/>
      <c r="O56" s="68"/>
      <c r="P56" s="68"/>
      <c r="Q56" s="68"/>
    </row>
    <row r="57" spans="1:17" ht="15" thickBot="1" x14ac:dyDescent="0.4">
      <c r="A57" s="10" t="s">
        <v>106</v>
      </c>
      <c r="B57" s="58" t="s">
        <v>4</v>
      </c>
      <c r="C57" s="12" t="s">
        <v>5</v>
      </c>
      <c r="D57" s="11" t="s">
        <v>6</v>
      </c>
      <c r="E57" s="14" t="s">
        <v>7</v>
      </c>
      <c r="H57" s="67"/>
      <c r="I57" s="67"/>
      <c r="J57" s="67"/>
      <c r="K57" s="67"/>
      <c r="L57" s="67"/>
      <c r="M57" s="68"/>
      <c r="N57" s="68"/>
      <c r="O57" s="68"/>
      <c r="P57" s="68"/>
      <c r="Q57" s="68"/>
    </row>
    <row r="58" spans="1:17" ht="15" thickTop="1" x14ac:dyDescent="0.35">
      <c r="A58" s="2" t="s">
        <v>107</v>
      </c>
      <c r="B58" s="54" t="s">
        <v>108</v>
      </c>
      <c r="C58" s="21" t="s">
        <v>67</v>
      </c>
      <c r="D58" s="1"/>
      <c r="E58" s="1"/>
      <c r="H58" s="67"/>
      <c r="I58" s="67"/>
      <c r="J58" s="67"/>
      <c r="K58" s="67"/>
      <c r="L58" s="67"/>
      <c r="M58" s="68"/>
      <c r="N58" s="68"/>
      <c r="O58" s="68"/>
      <c r="P58" s="68"/>
      <c r="Q58" s="68"/>
    </row>
    <row r="59" spans="1:17" x14ac:dyDescent="0.35">
      <c r="A59" s="2" t="s">
        <v>81</v>
      </c>
      <c r="B59" s="54" t="s">
        <v>109</v>
      </c>
      <c r="C59" s="8"/>
      <c r="D59" s="6"/>
      <c r="E59" s="1"/>
      <c r="H59" s="67"/>
      <c r="I59" s="67"/>
      <c r="J59" s="67"/>
      <c r="K59" s="67"/>
      <c r="L59" s="67"/>
      <c r="M59" s="68"/>
      <c r="N59" s="68"/>
      <c r="O59" s="68"/>
      <c r="P59" s="68"/>
      <c r="Q59" s="68"/>
    </row>
    <row r="60" spans="1:17" x14ac:dyDescent="0.35">
      <c r="A60" s="2" t="s">
        <v>111</v>
      </c>
      <c r="B60" s="1"/>
      <c r="C60" s="8"/>
      <c r="D60" s="1"/>
      <c r="E60" s="1"/>
      <c r="H60" s="67"/>
      <c r="I60" s="67"/>
      <c r="J60" s="67"/>
      <c r="K60" s="67"/>
      <c r="L60" s="67"/>
      <c r="M60" s="68"/>
      <c r="N60" s="68"/>
      <c r="O60" s="68"/>
      <c r="P60" s="68"/>
      <c r="Q60" s="68"/>
    </row>
    <row r="61" spans="1:17" x14ac:dyDescent="0.35">
      <c r="A61" s="2"/>
      <c r="B61" s="1"/>
      <c r="C61" s="8"/>
      <c r="D61" s="1"/>
      <c r="H61" s="67"/>
      <c r="I61" s="67"/>
      <c r="J61" s="67"/>
      <c r="K61" s="67"/>
      <c r="L61" s="67"/>
      <c r="M61" s="68"/>
      <c r="N61" s="68"/>
      <c r="O61" s="68"/>
      <c r="P61" s="68"/>
      <c r="Q61" s="68"/>
    </row>
    <row r="62" spans="1:17" ht="15" thickBot="1" x14ac:dyDescent="0.4">
      <c r="A62" s="10" t="s">
        <v>112</v>
      </c>
      <c r="B62" s="58" t="s">
        <v>4</v>
      </c>
      <c r="C62" s="12" t="s">
        <v>5</v>
      </c>
      <c r="D62" s="11" t="s">
        <v>6</v>
      </c>
      <c r="E62" s="14" t="s">
        <v>7</v>
      </c>
      <c r="H62" s="67"/>
      <c r="I62" s="67"/>
      <c r="J62" s="67"/>
      <c r="K62" s="67"/>
      <c r="L62" s="67"/>
      <c r="M62" s="68"/>
      <c r="N62" s="68"/>
      <c r="O62" s="68"/>
      <c r="P62" s="68"/>
      <c r="Q62" s="68"/>
    </row>
    <row r="63" spans="1:17" ht="15" thickTop="1" x14ac:dyDescent="0.35">
      <c r="A63" s="3" t="s">
        <v>65</v>
      </c>
      <c r="B63" s="54" t="s">
        <v>66</v>
      </c>
      <c r="C63" s="21" t="s">
        <v>113</v>
      </c>
      <c r="D63" s="1"/>
      <c r="E63" s="1"/>
      <c r="H63" s="67"/>
      <c r="I63" s="67"/>
      <c r="J63" s="67"/>
      <c r="K63" s="67"/>
      <c r="L63" s="67"/>
      <c r="M63" s="68"/>
      <c r="N63" s="68"/>
      <c r="O63" s="68"/>
      <c r="P63" s="68"/>
      <c r="Q63" s="68"/>
    </row>
    <row r="64" spans="1:17" x14ac:dyDescent="0.35">
      <c r="A64" s="2" t="s">
        <v>107</v>
      </c>
      <c r="B64" s="54" t="s">
        <v>108</v>
      </c>
      <c r="C64" s="21" t="s">
        <v>67</v>
      </c>
      <c r="D64" s="1"/>
      <c r="E64" s="1"/>
      <c r="H64" s="67"/>
      <c r="I64" s="67"/>
      <c r="J64" s="67"/>
      <c r="K64" s="67"/>
      <c r="L64" s="67"/>
      <c r="M64" s="68"/>
      <c r="N64" s="68"/>
      <c r="O64" s="68"/>
      <c r="P64" s="68"/>
      <c r="Q64" s="68"/>
    </row>
    <row r="65" spans="1:17" x14ac:dyDescent="0.35">
      <c r="A65" s="2" t="s">
        <v>81</v>
      </c>
      <c r="B65" s="54" t="s">
        <v>82</v>
      </c>
      <c r="C65" s="8"/>
      <c r="D65" s="6"/>
      <c r="E65" s="1"/>
      <c r="H65" s="67"/>
      <c r="I65" s="67"/>
      <c r="J65" s="67"/>
      <c r="K65" s="67"/>
      <c r="L65" s="67"/>
      <c r="M65" s="68"/>
      <c r="N65" s="68"/>
      <c r="O65" s="68"/>
      <c r="P65" s="68"/>
      <c r="Q65" s="68"/>
    </row>
    <row r="66" spans="1:17" x14ac:dyDescent="0.35">
      <c r="A66" s="2" t="s">
        <v>115</v>
      </c>
      <c r="B66" s="53" t="s">
        <v>116</v>
      </c>
      <c r="C66" s="97" t="s">
        <v>117</v>
      </c>
      <c r="D66" s="1"/>
      <c r="E66" s="1"/>
      <c r="H66" s="23" t="s">
        <v>242</v>
      </c>
      <c r="I66" s="67"/>
      <c r="J66" s="67"/>
      <c r="K66" s="67"/>
      <c r="L66" s="67"/>
      <c r="M66" s="68"/>
      <c r="N66" s="68"/>
      <c r="O66" s="68"/>
      <c r="P66" s="68"/>
      <c r="Q66" s="68"/>
    </row>
    <row r="67" spans="1:17" x14ac:dyDescent="0.35">
      <c r="A67" s="2" t="s">
        <v>118</v>
      </c>
      <c r="B67" s="53" t="s">
        <v>119</v>
      </c>
      <c r="C67" s="21" t="s">
        <v>120</v>
      </c>
      <c r="D67" s="1"/>
      <c r="E67" s="1"/>
      <c r="H67" s="67"/>
      <c r="I67" s="67"/>
      <c r="J67" s="67"/>
      <c r="K67" s="67"/>
      <c r="L67" s="67"/>
      <c r="M67" s="68"/>
      <c r="N67" s="68"/>
      <c r="O67" s="68"/>
      <c r="P67" s="68"/>
      <c r="Q67" s="68"/>
    </row>
    <row r="68" spans="1:17" x14ac:dyDescent="0.35">
      <c r="A68" s="4" t="s">
        <v>121</v>
      </c>
      <c r="B68" s="52" t="s">
        <v>122</v>
      </c>
      <c r="C68" s="21" t="s">
        <v>87</v>
      </c>
      <c r="D68" s="1"/>
      <c r="E68" s="1"/>
      <c r="H68" s="67"/>
      <c r="I68" s="67"/>
      <c r="J68" s="67"/>
      <c r="K68" s="67"/>
      <c r="L68" s="67"/>
      <c r="M68" s="68"/>
      <c r="N68" s="68"/>
      <c r="O68" s="68"/>
      <c r="P68" s="68"/>
      <c r="Q68" s="68"/>
    </row>
    <row r="69" spans="1:17" x14ac:dyDescent="0.35">
      <c r="A69" s="2" t="s">
        <v>123</v>
      </c>
      <c r="B69" s="52" t="s">
        <v>124</v>
      </c>
      <c r="C69" s="21" t="s">
        <v>84</v>
      </c>
      <c r="D69" s="1"/>
      <c r="E69" s="1"/>
      <c r="H69" s="67"/>
      <c r="I69" s="67"/>
      <c r="J69" s="67"/>
      <c r="K69" s="67"/>
      <c r="L69" s="67"/>
      <c r="M69" s="68"/>
      <c r="N69" s="68"/>
      <c r="O69" s="68"/>
      <c r="P69" s="68"/>
      <c r="Q69" s="68"/>
    </row>
    <row r="70" spans="1:17" x14ac:dyDescent="0.35">
      <c r="A70" s="2"/>
      <c r="B70" s="8"/>
      <c r="C70" s="8"/>
      <c r="D70" s="1"/>
      <c r="H70" s="67"/>
      <c r="I70" s="67"/>
      <c r="J70" s="67"/>
      <c r="K70" s="67"/>
      <c r="L70" s="67"/>
      <c r="M70" s="68"/>
      <c r="N70" s="68"/>
      <c r="O70" s="68"/>
      <c r="P70" s="68"/>
      <c r="Q70" s="68"/>
    </row>
    <row r="71" spans="1:17" ht="15" thickBot="1" x14ac:dyDescent="0.4">
      <c r="A71" s="10" t="s">
        <v>125</v>
      </c>
      <c r="B71" s="58" t="s">
        <v>4</v>
      </c>
      <c r="C71" s="12" t="s">
        <v>5</v>
      </c>
      <c r="D71" s="11" t="s">
        <v>6</v>
      </c>
      <c r="E71" s="14" t="s">
        <v>7</v>
      </c>
      <c r="H71" s="67"/>
      <c r="I71" s="67"/>
      <c r="J71" s="67"/>
      <c r="K71" s="67"/>
      <c r="L71" s="67"/>
      <c r="M71" s="68"/>
      <c r="N71" s="68"/>
      <c r="O71" s="68"/>
      <c r="P71" s="68"/>
      <c r="Q71" s="68"/>
    </row>
    <row r="72" spans="1:17" ht="15" thickTop="1" x14ac:dyDescent="0.35">
      <c r="A72" s="3" t="s">
        <v>65</v>
      </c>
      <c r="B72" s="54" t="s">
        <v>66</v>
      </c>
      <c r="C72" s="21" t="s">
        <v>126</v>
      </c>
      <c r="D72" s="1"/>
      <c r="E72" s="1"/>
      <c r="H72" s="67"/>
      <c r="I72" s="67"/>
      <c r="J72" s="67"/>
      <c r="K72" s="67"/>
      <c r="L72" s="67"/>
      <c r="M72" s="68"/>
      <c r="N72" s="68"/>
      <c r="O72" s="68"/>
      <c r="P72" s="68"/>
      <c r="Q72" s="68"/>
    </row>
    <row r="73" spans="1:17" x14ac:dyDescent="0.35">
      <c r="A73" s="2" t="s">
        <v>107</v>
      </c>
      <c r="B73" s="54" t="s">
        <v>108</v>
      </c>
      <c r="C73" s="21" t="s">
        <v>67</v>
      </c>
      <c r="D73" s="1"/>
      <c r="E73" s="1"/>
      <c r="H73" s="67"/>
      <c r="I73" s="67"/>
      <c r="J73" s="67"/>
      <c r="K73" s="67"/>
      <c r="L73" s="67"/>
      <c r="M73" s="68"/>
      <c r="N73" s="68"/>
      <c r="O73" s="68"/>
      <c r="P73" s="68"/>
      <c r="Q73" s="68"/>
    </row>
    <row r="74" spans="1:17" x14ac:dyDescent="0.35">
      <c r="A74" s="2" t="s">
        <v>81</v>
      </c>
      <c r="B74" s="54" t="s">
        <v>127</v>
      </c>
      <c r="C74" s="8"/>
      <c r="D74" s="6"/>
      <c r="E74" s="1"/>
      <c r="H74" s="67"/>
      <c r="I74" s="67"/>
      <c r="J74" s="67"/>
      <c r="K74" s="67"/>
      <c r="L74" s="67"/>
      <c r="M74" s="68"/>
      <c r="N74" s="68"/>
      <c r="O74" s="68"/>
      <c r="P74" s="68"/>
      <c r="Q74" s="68"/>
    </row>
    <row r="75" spans="1:17" x14ac:dyDescent="0.35">
      <c r="A75" s="2" t="s">
        <v>129</v>
      </c>
      <c r="B75" s="53" t="s">
        <v>130</v>
      </c>
      <c r="C75" s="8" t="s">
        <v>243</v>
      </c>
      <c r="D75" s="1"/>
      <c r="E75" s="1"/>
      <c r="H75" s="66" t="s">
        <v>243</v>
      </c>
      <c r="I75" s="66" t="s">
        <v>244</v>
      </c>
      <c r="J75" s="67"/>
      <c r="K75" s="67"/>
      <c r="L75" s="67"/>
      <c r="M75" s="68"/>
      <c r="N75" s="68"/>
      <c r="O75" s="68"/>
      <c r="P75" s="68"/>
      <c r="Q75" s="68"/>
    </row>
    <row r="76" spans="1:17" x14ac:dyDescent="0.35">
      <c r="A76" s="4" t="s">
        <v>121</v>
      </c>
      <c r="B76" s="55" t="s">
        <v>122</v>
      </c>
      <c r="C76" s="25" t="s">
        <v>87</v>
      </c>
      <c r="H76" s="67"/>
      <c r="I76" s="67"/>
      <c r="J76" s="67"/>
      <c r="K76" s="67"/>
      <c r="L76" s="67"/>
      <c r="M76" s="68"/>
      <c r="N76" s="68"/>
      <c r="O76" s="68"/>
      <c r="P76" s="68"/>
      <c r="Q76" s="68"/>
    </row>
    <row r="77" spans="1:17" x14ac:dyDescent="0.35">
      <c r="A77" s="2" t="s">
        <v>132</v>
      </c>
      <c r="B77" s="53" t="s">
        <v>133</v>
      </c>
      <c r="C77" s="21">
        <v>90</v>
      </c>
      <c r="D77" s="1"/>
      <c r="E77" s="1"/>
      <c r="H77" s="70" t="s">
        <v>245</v>
      </c>
      <c r="I77" s="67"/>
      <c r="J77" s="67"/>
      <c r="K77" s="67"/>
      <c r="L77" s="67"/>
      <c r="M77" s="68"/>
      <c r="N77" s="68"/>
      <c r="O77" s="68"/>
      <c r="P77" s="68"/>
      <c r="Q77" s="68"/>
    </row>
    <row r="78" spans="1:17" ht="15" customHeight="1" x14ac:dyDescent="0.35">
      <c r="A78" s="2" t="s">
        <v>134</v>
      </c>
      <c r="B78" s="53" t="s">
        <v>135</v>
      </c>
      <c r="C78" s="8" t="b">
        <v>1</v>
      </c>
      <c r="D78" s="1"/>
      <c r="E78" s="1"/>
      <c r="H78" s="67"/>
      <c r="I78" s="67"/>
      <c r="J78" s="67"/>
      <c r="K78" s="67"/>
      <c r="L78" s="67"/>
      <c r="M78" s="68"/>
      <c r="N78" s="68"/>
      <c r="O78" s="68"/>
      <c r="P78" s="68"/>
      <c r="Q78" s="68"/>
    </row>
    <row r="79" spans="1:17" x14ac:dyDescent="0.35">
      <c r="A79" s="2" t="s">
        <v>136</v>
      </c>
      <c r="B79" s="100" t="s">
        <v>137</v>
      </c>
      <c r="C79" s="8" t="b">
        <v>1</v>
      </c>
      <c r="D79" s="1"/>
      <c r="E79" s="1"/>
      <c r="H79" s="67"/>
      <c r="I79" s="67"/>
      <c r="J79" s="67"/>
      <c r="K79" s="67"/>
      <c r="L79" s="67"/>
      <c r="M79" s="68"/>
      <c r="N79" s="68"/>
      <c r="O79" s="68"/>
      <c r="P79" s="68"/>
      <c r="Q79" s="68"/>
    </row>
    <row r="80" spans="1:17" x14ac:dyDescent="0.35">
      <c r="A80" s="2" t="s">
        <v>138</v>
      </c>
      <c r="B80" s="100" t="s">
        <v>139</v>
      </c>
      <c r="C80" s="8" t="b">
        <v>1</v>
      </c>
      <c r="D80" s="1"/>
      <c r="E80" s="1"/>
      <c r="H80" s="67"/>
      <c r="I80" s="67"/>
      <c r="J80" s="67"/>
      <c r="K80" s="67"/>
      <c r="L80" s="67"/>
      <c r="M80" s="68"/>
      <c r="N80" s="68"/>
      <c r="O80" s="68"/>
      <c r="P80" s="68"/>
      <c r="Q80" s="68"/>
    </row>
    <row r="81" spans="1:17" x14ac:dyDescent="0.35">
      <c r="A81" s="2" t="s">
        <v>140</v>
      </c>
      <c r="B81" s="100" t="s">
        <v>141</v>
      </c>
      <c r="C81" s="8" t="b">
        <v>1</v>
      </c>
      <c r="D81" s="1"/>
      <c r="E81" s="1"/>
      <c r="H81" s="67"/>
      <c r="I81" s="67"/>
      <c r="J81" s="67"/>
      <c r="K81" s="67"/>
      <c r="L81" s="67"/>
      <c r="M81" s="68"/>
      <c r="N81" s="68"/>
      <c r="O81" s="68"/>
      <c r="P81" s="68"/>
      <c r="Q81" s="68"/>
    </row>
    <row r="82" spans="1:17" x14ac:dyDescent="0.35">
      <c r="A82" s="2" t="s">
        <v>142</v>
      </c>
      <c r="B82" s="100" t="s">
        <v>143</v>
      </c>
      <c r="C82" s="8" t="b">
        <v>1</v>
      </c>
      <c r="D82" s="1"/>
      <c r="E82" s="1"/>
      <c r="H82" s="67"/>
      <c r="I82" s="67"/>
      <c r="J82" s="67"/>
      <c r="K82" s="67"/>
      <c r="L82" s="67"/>
      <c r="M82" s="68"/>
      <c r="N82" s="68"/>
      <c r="O82" s="68"/>
      <c r="P82" s="68"/>
      <c r="Q82" s="68"/>
    </row>
    <row r="83" spans="1:17" ht="15" customHeight="1" x14ac:dyDescent="0.35">
      <c r="A83" s="2" t="s">
        <v>144</v>
      </c>
      <c r="B83" s="100" t="s">
        <v>145</v>
      </c>
      <c r="C83" s="8" t="b">
        <v>1</v>
      </c>
      <c r="D83" s="1"/>
      <c r="E83" s="1"/>
      <c r="H83" s="67"/>
      <c r="I83" s="67"/>
      <c r="J83" s="67"/>
      <c r="K83" s="67"/>
      <c r="L83" s="67"/>
      <c r="M83" s="68"/>
      <c r="N83" s="68"/>
      <c r="O83" s="68"/>
      <c r="P83" s="68"/>
      <c r="Q83" s="68"/>
    </row>
    <row r="84" spans="1:17" x14ac:dyDescent="0.35">
      <c r="A84" s="2"/>
      <c r="B84" s="1"/>
      <c r="C84" s="8"/>
      <c r="D84" s="1"/>
      <c r="E84" s="1"/>
      <c r="H84" s="67"/>
      <c r="I84" s="67"/>
      <c r="J84" s="67"/>
      <c r="K84" s="67"/>
      <c r="L84" s="67"/>
      <c r="M84" s="68"/>
      <c r="N84" s="68"/>
      <c r="O84" s="68"/>
      <c r="P84" s="68"/>
      <c r="Q84" s="68"/>
    </row>
    <row r="85" spans="1:17" ht="15" thickBot="1" x14ac:dyDescent="0.4">
      <c r="A85" s="10" t="s">
        <v>146</v>
      </c>
      <c r="B85" s="58" t="s">
        <v>4</v>
      </c>
      <c r="C85" s="12" t="s">
        <v>5</v>
      </c>
      <c r="D85" s="11" t="s">
        <v>6</v>
      </c>
      <c r="E85" s="14" t="s">
        <v>7</v>
      </c>
      <c r="H85" s="67"/>
      <c r="I85" s="67"/>
      <c r="J85" s="67"/>
      <c r="K85" s="67"/>
      <c r="L85" s="67"/>
      <c r="M85" s="68"/>
      <c r="N85" s="68"/>
      <c r="O85" s="68"/>
      <c r="P85" s="68"/>
      <c r="Q85" s="68"/>
    </row>
    <row r="86" spans="1:17" ht="15" thickTop="1" x14ac:dyDescent="0.35">
      <c r="A86" s="2" t="s">
        <v>81</v>
      </c>
      <c r="B86" s="54" t="s">
        <v>147</v>
      </c>
      <c r="C86" s="8"/>
      <c r="D86" s="6"/>
      <c r="E86" s="1"/>
      <c r="H86" s="67"/>
      <c r="I86" s="67"/>
      <c r="J86" s="67"/>
      <c r="K86" s="67"/>
      <c r="L86" s="67"/>
      <c r="M86" s="68"/>
      <c r="N86" s="68"/>
      <c r="O86" s="68"/>
      <c r="P86" s="68"/>
      <c r="Q86" s="68"/>
    </row>
    <row r="87" spans="1:17" x14ac:dyDescent="0.35">
      <c r="A87" s="2" t="s">
        <v>125</v>
      </c>
      <c r="B87" s="54" t="s">
        <v>127</v>
      </c>
      <c r="C87" s="8"/>
      <c r="D87" s="6"/>
      <c r="E87" s="1"/>
      <c r="H87" s="67"/>
      <c r="I87" s="67"/>
      <c r="J87" s="67"/>
      <c r="K87" s="67"/>
      <c r="L87" s="67"/>
      <c r="M87" s="68"/>
      <c r="N87" s="68"/>
      <c r="O87" s="68"/>
      <c r="P87" s="68"/>
      <c r="Q87" s="68"/>
    </row>
    <row r="88" spans="1:17" x14ac:dyDescent="0.35">
      <c r="A88" s="3" t="s">
        <v>149</v>
      </c>
      <c r="B88" s="98" t="s">
        <v>150</v>
      </c>
      <c r="C88" s="101" t="s">
        <v>151</v>
      </c>
      <c r="D88" s="1"/>
      <c r="E88" s="1"/>
      <c r="H88" s="67"/>
      <c r="I88" s="67"/>
      <c r="J88" s="67"/>
      <c r="K88" s="67"/>
      <c r="L88" s="67"/>
      <c r="M88" s="68"/>
      <c r="N88" s="68"/>
      <c r="O88" s="68"/>
      <c r="P88" s="68"/>
      <c r="Q88" s="68"/>
    </row>
    <row r="89" spans="1:17" x14ac:dyDescent="0.35">
      <c r="A89" s="2" t="s">
        <v>152</v>
      </c>
      <c r="B89" s="99" t="s">
        <v>153</v>
      </c>
      <c r="C89" s="101">
        <v>2048</v>
      </c>
      <c r="D89" s="1"/>
      <c r="E89" s="1"/>
      <c r="H89" s="67"/>
      <c r="I89" s="67"/>
      <c r="J89" s="67"/>
      <c r="K89" s="67"/>
      <c r="L89" s="67"/>
      <c r="M89" s="68"/>
      <c r="N89" s="68"/>
      <c r="O89" s="68"/>
      <c r="P89" s="68"/>
      <c r="Q89" s="68"/>
    </row>
    <row r="90" spans="1:17" ht="43.5" customHeight="1" x14ac:dyDescent="0.35">
      <c r="A90" s="2" t="s">
        <v>154</v>
      </c>
      <c r="B90" s="98" t="s">
        <v>155</v>
      </c>
      <c r="C90" s="102" t="s">
        <v>156</v>
      </c>
      <c r="D90" s="1"/>
      <c r="E90" s="1"/>
      <c r="H90" s="67"/>
      <c r="I90" s="67"/>
      <c r="J90" s="67"/>
      <c r="K90" s="67"/>
      <c r="L90" s="67"/>
      <c r="M90" s="68"/>
      <c r="N90" s="68"/>
      <c r="O90" s="68"/>
      <c r="P90" s="68"/>
      <c r="Q90" s="68"/>
    </row>
    <row r="91" spans="1:17" x14ac:dyDescent="0.35">
      <c r="A91" s="2"/>
      <c r="B91" s="1"/>
      <c r="C91" s="8"/>
      <c r="D91" s="1"/>
      <c r="H91" s="67"/>
      <c r="I91" s="67"/>
      <c r="J91" s="67"/>
      <c r="K91" s="67"/>
      <c r="L91" s="67"/>
      <c r="M91" s="68"/>
      <c r="N91" s="68"/>
      <c r="O91" s="68"/>
      <c r="P91" s="68"/>
      <c r="Q91" s="68"/>
    </row>
    <row r="92" spans="1:17" ht="15" thickBot="1" x14ac:dyDescent="0.4">
      <c r="A92" s="10" t="s">
        <v>157</v>
      </c>
      <c r="B92" s="58" t="s">
        <v>4</v>
      </c>
      <c r="C92" s="12" t="s">
        <v>5</v>
      </c>
      <c r="D92" s="11" t="s">
        <v>6</v>
      </c>
      <c r="E92" s="14" t="s">
        <v>7</v>
      </c>
      <c r="H92" s="67"/>
      <c r="I92" s="67"/>
      <c r="J92" s="67"/>
      <c r="K92" s="67"/>
      <c r="L92" s="67"/>
      <c r="M92" s="68"/>
      <c r="N92" s="68"/>
      <c r="O92" s="68"/>
      <c r="P92" s="68"/>
      <c r="Q92" s="68"/>
    </row>
    <row r="93" spans="1:17" ht="15" thickTop="1" x14ac:dyDescent="0.35">
      <c r="A93" s="2" t="s">
        <v>107</v>
      </c>
      <c r="B93" s="54" t="s">
        <v>108</v>
      </c>
      <c r="C93" s="21" t="s">
        <v>67</v>
      </c>
      <c r="D93" s="1"/>
      <c r="E93" s="1"/>
      <c r="H93" s="67"/>
      <c r="I93" s="67"/>
      <c r="J93" s="67"/>
      <c r="K93" s="67"/>
      <c r="L93" s="67"/>
      <c r="M93" s="68"/>
      <c r="N93" s="68"/>
      <c r="O93" s="68"/>
      <c r="P93" s="68"/>
      <c r="Q93" s="68"/>
    </row>
    <row r="94" spans="1:17" x14ac:dyDescent="0.35">
      <c r="A94" s="2" t="s">
        <v>81</v>
      </c>
      <c r="B94" s="54" t="s">
        <v>158</v>
      </c>
      <c r="C94" s="8"/>
      <c r="D94" s="6"/>
      <c r="E94" s="1"/>
      <c r="H94" s="67"/>
      <c r="I94" s="67"/>
      <c r="J94" s="67"/>
      <c r="K94" s="67"/>
      <c r="L94" s="67"/>
      <c r="M94" s="68"/>
      <c r="N94" s="68"/>
      <c r="O94" s="68"/>
      <c r="P94" s="68"/>
      <c r="Q94" s="68"/>
    </row>
    <row r="95" spans="1:17" x14ac:dyDescent="0.35">
      <c r="A95" s="2" t="s">
        <v>160</v>
      </c>
      <c r="B95" s="98" t="s">
        <v>161</v>
      </c>
      <c r="C95" s="103" t="s">
        <v>162</v>
      </c>
      <c r="D95" s="1"/>
      <c r="E95" s="1"/>
      <c r="H95" s="66" t="s">
        <v>246</v>
      </c>
      <c r="I95" s="66" t="s">
        <v>162</v>
      </c>
      <c r="J95" s="66" t="s">
        <v>247</v>
      </c>
      <c r="K95" s="67"/>
      <c r="L95" s="67"/>
      <c r="M95" s="68"/>
      <c r="N95" s="68"/>
      <c r="O95" s="68"/>
      <c r="P95" s="68"/>
      <c r="Q95" s="68"/>
    </row>
    <row r="97" spans="1:17" ht="15" thickBot="1" x14ac:dyDescent="0.4">
      <c r="A97" s="10" t="s">
        <v>163</v>
      </c>
      <c r="B97" s="58" t="s">
        <v>4</v>
      </c>
      <c r="C97" s="12" t="s">
        <v>5</v>
      </c>
      <c r="D97" s="11" t="s">
        <v>6</v>
      </c>
      <c r="E97" s="14" t="s">
        <v>7</v>
      </c>
      <c r="H97" s="67"/>
      <c r="I97" s="67"/>
      <c r="J97" s="67"/>
      <c r="K97" s="67"/>
      <c r="L97" s="67"/>
      <c r="M97" s="68"/>
      <c r="N97" s="68"/>
      <c r="O97" s="68"/>
      <c r="P97" s="68"/>
      <c r="Q97" s="68"/>
    </row>
    <row r="98" spans="1:17" ht="15" thickTop="1" x14ac:dyDescent="0.35">
      <c r="A98" s="2" t="s">
        <v>65</v>
      </c>
      <c r="B98" s="53" t="s">
        <v>164</v>
      </c>
      <c r="C98" s="21" t="s">
        <v>165</v>
      </c>
      <c r="D98" s="1"/>
      <c r="E98" s="1"/>
      <c r="H98" s="67"/>
      <c r="I98" s="67"/>
      <c r="J98" s="67"/>
      <c r="K98" s="67"/>
      <c r="L98" s="67"/>
      <c r="M98" s="68"/>
      <c r="N98" s="68"/>
      <c r="O98" s="68"/>
      <c r="P98" s="68"/>
      <c r="Q98" s="68"/>
    </row>
    <row r="99" spans="1:17" x14ac:dyDescent="0.35">
      <c r="A99" s="2" t="s">
        <v>107</v>
      </c>
      <c r="B99" s="54" t="s">
        <v>108</v>
      </c>
      <c r="C99" s="21" t="s">
        <v>67</v>
      </c>
      <c r="D99" s="1"/>
      <c r="E99" s="1"/>
      <c r="H99" s="67"/>
      <c r="I99" s="67"/>
      <c r="J99" s="67"/>
      <c r="K99" s="67"/>
      <c r="L99" s="67"/>
      <c r="M99" s="68"/>
      <c r="N99" s="68"/>
      <c r="O99" s="68"/>
      <c r="P99" s="68"/>
      <c r="Q99" s="68"/>
    </row>
    <row r="100" spans="1:17" x14ac:dyDescent="0.35">
      <c r="A100" s="2" t="s">
        <v>68</v>
      </c>
      <c r="B100" s="53" t="str">
        <f>"vm_list." &amp; C98 &amp; ".name"</f>
        <v>vm_list.vm1.name</v>
      </c>
      <c r="C100" s="21" t="s">
        <v>248</v>
      </c>
      <c r="D100" s="6"/>
      <c r="E100" s="1"/>
      <c r="G100" t="s">
        <v>249</v>
      </c>
      <c r="H100" s="67"/>
      <c r="I100" s="67"/>
      <c r="J100" s="67"/>
      <c r="K100" s="67"/>
      <c r="L100" s="67"/>
      <c r="M100" s="68"/>
      <c r="N100" s="68"/>
      <c r="O100" s="68"/>
      <c r="P100" s="68"/>
      <c r="Q100" s="68"/>
    </row>
    <row r="101" spans="1:17" x14ac:dyDescent="0.35">
      <c r="A101" s="2" t="s">
        <v>167</v>
      </c>
      <c r="B101" s="53" t="str">
        <f>"vm_list." &amp; C98 &amp; ".image_os"</f>
        <v>vm_list.vm1.image_os</v>
      </c>
      <c r="C101" s="8"/>
      <c r="D101" s="1"/>
      <c r="E101" s="1"/>
      <c r="G101" t="s">
        <v>203</v>
      </c>
      <c r="H101" s="66" t="s">
        <v>168</v>
      </c>
      <c r="I101" s="66" t="s">
        <v>250</v>
      </c>
      <c r="J101" s="67"/>
      <c r="K101" s="8"/>
      <c r="L101" s="67"/>
      <c r="M101" s="68"/>
      <c r="N101" s="68"/>
      <c r="O101" s="68"/>
      <c r="P101" s="68"/>
      <c r="Q101" s="68"/>
    </row>
    <row r="102" spans="1:17" x14ac:dyDescent="0.35">
      <c r="A102" s="20" t="s">
        <v>169</v>
      </c>
      <c r="B102" s="53" t="str">
        <f>"vm_list." &amp; C98 &amp; ".image_urn"</f>
        <v>vm_list.vm1.image_urn</v>
      </c>
      <c r="C102" s="8"/>
      <c r="D102" s="1"/>
      <c r="E102" s="1"/>
      <c r="G102" t="s">
        <v>251</v>
      </c>
      <c r="H102" s="23" t="s">
        <v>252</v>
      </c>
      <c r="I102" s="67"/>
      <c r="J102" s="67"/>
      <c r="K102" s="8"/>
      <c r="L102" s="67"/>
      <c r="M102" s="68"/>
      <c r="N102" s="68"/>
      <c r="O102" s="68"/>
      <c r="P102" s="68"/>
      <c r="Q102" s="68"/>
    </row>
    <row r="103" spans="1:17" x14ac:dyDescent="0.35">
      <c r="A103" s="20" t="s">
        <v>170</v>
      </c>
      <c r="B103" s="53" t="str">
        <f>"vm_list." &amp; C99 &amp; ".source_image_id"</f>
        <v>vm_list.rsg1.source_image_id</v>
      </c>
      <c r="C103" s="8"/>
      <c r="D103" s="1"/>
      <c r="E103" s="1"/>
      <c r="H103" s="66" t="s">
        <v>253</v>
      </c>
      <c r="I103" s="66" t="s">
        <v>254</v>
      </c>
      <c r="J103" s="67"/>
      <c r="K103" s="8"/>
      <c r="L103" s="67"/>
      <c r="M103" s="68"/>
      <c r="N103" s="68"/>
      <c r="O103" s="68"/>
      <c r="P103" s="68"/>
      <c r="Q103" s="68"/>
    </row>
    <row r="104" spans="1:17" x14ac:dyDescent="0.35">
      <c r="A104" s="2" t="s">
        <v>129</v>
      </c>
      <c r="B104" s="53" t="str">
        <f>"vm_list." &amp; C98 &amp; ".size"</f>
        <v>vm_list.vm1.size</v>
      </c>
      <c r="C104" s="8"/>
      <c r="D104" s="1"/>
      <c r="E104" s="1"/>
      <c r="G104" t="s">
        <v>251</v>
      </c>
      <c r="H104" s="67" t="s">
        <v>255</v>
      </c>
      <c r="I104" s="67" t="s">
        <v>256</v>
      </c>
      <c r="J104" s="67" t="s">
        <v>257</v>
      </c>
      <c r="K104" s="67" t="s">
        <v>258</v>
      </c>
      <c r="L104" s="67" t="s">
        <v>259</v>
      </c>
      <c r="M104" s="68" t="s">
        <v>260</v>
      </c>
      <c r="N104" s="68" t="s">
        <v>261</v>
      </c>
      <c r="O104" s="68" t="s">
        <v>262</v>
      </c>
      <c r="P104" s="68"/>
      <c r="Q104" s="68"/>
    </row>
    <row r="105" spans="1:17" x14ac:dyDescent="0.35">
      <c r="A105" s="2" t="s">
        <v>173</v>
      </c>
      <c r="B105" s="53" t="str">
        <f>"vm_list." &amp; C98 &amp; ".os_disk_size"</f>
        <v>vm_list.vm1.os_disk_size</v>
      </c>
      <c r="C105" s="8"/>
      <c r="D105" s="1"/>
      <c r="E105" s="1"/>
      <c r="G105" t="s">
        <v>251</v>
      </c>
      <c r="H105" s="67">
        <v>128</v>
      </c>
      <c r="I105" s="67"/>
      <c r="J105" s="67"/>
      <c r="K105" s="67"/>
      <c r="L105" s="67"/>
      <c r="M105" s="68"/>
      <c r="N105" s="68"/>
      <c r="O105" s="68"/>
      <c r="P105" s="68"/>
      <c r="Q105" s="68"/>
    </row>
    <row r="106" spans="1:17" x14ac:dyDescent="0.35">
      <c r="A106" s="2" t="s">
        <v>174</v>
      </c>
      <c r="B106" s="53" t="str">
        <f>"vm_list." &amp; C98 &amp; ".os_disk_type"</f>
        <v>vm_list.vm1.os_disk_type</v>
      </c>
      <c r="C106" s="1"/>
      <c r="D106" s="1"/>
      <c r="E106" s="1"/>
      <c r="G106" t="s">
        <v>251</v>
      </c>
      <c r="H106" s="66" t="s">
        <v>263</v>
      </c>
      <c r="I106" s="66" t="s">
        <v>264</v>
      </c>
      <c r="J106" s="66" t="s">
        <v>265</v>
      </c>
      <c r="K106" s="66" t="s">
        <v>266</v>
      </c>
      <c r="L106" s="66" t="s">
        <v>175</v>
      </c>
      <c r="M106" s="69" t="s">
        <v>267</v>
      </c>
      <c r="N106" s="69" t="s">
        <v>268</v>
      </c>
      <c r="O106" s="68"/>
      <c r="P106" s="68"/>
      <c r="Q106" s="68"/>
    </row>
    <row r="107" spans="1:17" x14ac:dyDescent="0.35">
      <c r="A107" s="2" t="s">
        <v>176</v>
      </c>
      <c r="B107" s="53" t="str">
        <f>"vm_list." &amp; C98 &amp; ".ip_allocation"</f>
        <v>vm_list.vm1.ip_allocation</v>
      </c>
      <c r="C107" s="104" t="s">
        <v>177</v>
      </c>
      <c r="D107" s="1"/>
      <c r="E107" s="1"/>
      <c r="H107" s="66" t="s">
        <v>269</v>
      </c>
      <c r="I107" s="66" t="s">
        <v>177</v>
      </c>
      <c r="J107" s="67"/>
      <c r="K107" s="67"/>
      <c r="L107" s="67"/>
      <c r="M107" s="68"/>
      <c r="N107" s="68"/>
      <c r="O107" s="68"/>
      <c r="P107" s="68"/>
      <c r="Q107" s="68"/>
    </row>
    <row r="108" spans="1:17" x14ac:dyDescent="0.35">
      <c r="A108" s="2" t="s">
        <v>178</v>
      </c>
      <c r="B108" s="53" t="str">
        <f>"vm_list." &amp; C98 &amp; ".ip_address"</f>
        <v>vm_list.vm1.ip_address</v>
      </c>
      <c r="C108" s="8"/>
      <c r="D108" s="1"/>
      <c r="E108" s="1" t="s">
        <v>179</v>
      </c>
      <c r="H108" s="67"/>
      <c r="I108" s="67"/>
      <c r="J108" s="67"/>
      <c r="K108" s="67"/>
      <c r="L108" s="67"/>
      <c r="M108" s="68"/>
      <c r="N108" s="68"/>
      <c r="O108" s="68"/>
      <c r="P108" s="68"/>
      <c r="Q108" s="68"/>
    </row>
    <row r="109" spans="1:17" x14ac:dyDescent="0.35">
      <c r="A109" s="4" t="s">
        <v>121</v>
      </c>
      <c r="B109" s="52" t="str">
        <f>"vm_list." &amp; C98 &amp; ".snet_key"</f>
        <v>vm_list.vm1.snet_key</v>
      </c>
      <c r="C109" s="21" t="s">
        <v>87</v>
      </c>
      <c r="D109" s="1"/>
      <c r="E109" s="1"/>
      <c r="H109" s="67"/>
      <c r="I109" s="67"/>
      <c r="J109" s="67"/>
      <c r="K109" s="67"/>
      <c r="L109" s="67"/>
      <c r="M109" s="68"/>
      <c r="N109" s="68"/>
      <c r="O109" s="68"/>
      <c r="P109" s="68"/>
      <c r="Q109" s="68"/>
    </row>
    <row r="110" spans="1:17" x14ac:dyDescent="0.35">
      <c r="A110" s="2" t="s">
        <v>123</v>
      </c>
      <c r="B110" s="52" t="str">
        <f>"vm_list." &amp; C98 &amp; ".asg_key"</f>
        <v>vm_list.vm1.asg_key</v>
      </c>
      <c r="C110" s="21" t="s">
        <v>236</v>
      </c>
      <c r="D110" s="1"/>
      <c r="E110" s="1"/>
      <c r="H110" s="67"/>
      <c r="I110" s="67"/>
      <c r="J110" s="67"/>
      <c r="K110" s="67"/>
      <c r="L110" s="67"/>
      <c r="M110" s="68"/>
      <c r="N110" s="68"/>
      <c r="O110" s="68"/>
      <c r="P110" s="68"/>
      <c r="Q110" s="68"/>
    </row>
    <row r="111" spans="1:17" x14ac:dyDescent="0.35">
      <c r="A111" s="20" t="s">
        <v>180</v>
      </c>
      <c r="B111" s="53" t="str">
        <f>"vm_list." &amp; C98 &amp; ".tags.wab:role"</f>
        <v>vm_list.vm1.tags.wab:role</v>
      </c>
      <c r="C111" s="8"/>
      <c r="D111" s="1"/>
      <c r="E111" s="1"/>
      <c r="G111" t="s">
        <v>251</v>
      </c>
      <c r="H111" s="67" t="s">
        <v>181</v>
      </c>
      <c r="I111" s="67" t="s">
        <v>270</v>
      </c>
      <c r="J111" s="67" t="s">
        <v>271</v>
      </c>
      <c r="K111" s="67" t="s">
        <v>272</v>
      </c>
      <c r="L111" s="67"/>
      <c r="M111" s="68"/>
      <c r="N111" s="68"/>
      <c r="O111" s="68"/>
      <c r="P111" s="68"/>
      <c r="Q111" s="68"/>
    </row>
    <row r="112" spans="1:17" x14ac:dyDescent="0.35">
      <c r="A112" s="20" t="s">
        <v>182</v>
      </c>
      <c r="B112" s="53" t="str">
        <f>"vm_list." &amp; C98 &amp; ".tags.wab:patch-optin"</f>
        <v>vm_list.vm1.tags.wab:patch-optin</v>
      </c>
      <c r="C112" s="8"/>
      <c r="D112" s="1"/>
      <c r="E112" s="1"/>
      <c r="G112" t="s">
        <v>251</v>
      </c>
      <c r="H112" s="66" t="s">
        <v>75</v>
      </c>
      <c r="I112" s="66" t="s">
        <v>71</v>
      </c>
      <c r="J112" s="67"/>
      <c r="K112" s="67"/>
      <c r="L112" s="67"/>
      <c r="M112" s="68"/>
      <c r="N112" s="68"/>
      <c r="O112" s="68"/>
      <c r="P112" s="68"/>
      <c r="Q112" s="68"/>
    </row>
    <row r="113" spans="1:17" x14ac:dyDescent="0.35">
      <c r="A113" s="2" t="s">
        <v>183</v>
      </c>
      <c r="B113" s="53" t="s">
        <v>184</v>
      </c>
      <c r="C113" s="101" t="s">
        <v>185</v>
      </c>
      <c r="D113" s="1"/>
      <c r="E113" s="1"/>
      <c r="H113" s="67"/>
      <c r="I113" s="67"/>
      <c r="J113" s="67"/>
      <c r="K113" s="67"/>
      <c r="L113" s="67"/>
      <c r="M113" s="68"/>
      <c r="N113" s="68"/>
      <c r="O113" s="68"/>
      <c r="P113" s="68"/>
      <c r="Q113" s="68"/>
    </row>
    <row r="114" spans="1:17" x14ac:dyDescent="0.35">
      <c r="A114" s="2" t="s">
        <v>186</v>
      </c>
      <c r="B114" s="1"/>
      <c r="C114" s="21" t="s">
        <v>273</v>
      </c>
      <c r="D114" s="1"/>
      <c r="E114" s="1"/>
      <c r="G114" t="s">
        <v>251</v>
      </c>
      <c r="H114" s="67"/>
      <c r="I114" s="67"/>
      <c r="J114" s="67"/>
      <c r="K114" s="67"/>
      <c r="L114" s="67"/>
      <c r="M114" s="68"/>
      <c r="N114" s="68"/>
      <c r="O114" s="68"/>
      <c r="P114" s="68"/>
      <c r="Q114" s="68"/>
    </row>
    <row r="115" spans="1:17" x14ac:dyDescent="0.35">
      <c r="A115" s="2" t="s">
        <v>188</v>
      </c>
      <c r="B115" s="1"/>
      <c r="C115" s="8"/>
      <c r="D115" s="1"/>
      <c r="E115" s="1"/>
      <c r="G115" t="s">
        <v>251</v>
      </c>
      <c r="H115" s="67"/>
      <c r="I115" s="67"/>
      <c r="J115" s="67"/>
      <c r="K115" s="67"/>
      <c r="L115" s="67"/>
      <c r="M115" s="68"/>
      <c r="N115" s="68"/>
      <c r="O115" s="68"/>
      <c r="P115" s="68"/>
      <c r="Q115" s="68"/>
    </row>
    <row r="116" spans="1:17" x14ac:dyDescent="0.35">
      <c r="A116" s="2" t="s">
        <v>29</v>
      </c>
      <c r="B116" s="1"/>
      <c r="C116" s="8"/>
      <c r="D116" s="1"/>
      <c r="E116" s="1"/>
      <c r="G116" t="s">
        <v>251</v>
      </c>
      <c r="H116" s="67"/>
      <c r="I116" s="67"/>
      <c r="J116" s="67"/>
      <c r="K116" s="67"/>
      <c r="L116" s="67"/>
      <c r="M116" s="68"/>
      <c r="N116" s="68"/>
      <c r="O116" s="68"/>
      <c r="P116" s="68"/>
      <c r="Q116" s="68"/>
    </row>
    <row r="117" spans="1:17" x14ac:dyDescent="0.35">
      <c r="A117" s="2" t="s">
        <v>189</v>
      </c>
      <c r="B117" s="1"/>
      <c r="C117" s="8"/>
      <c r="D117" s="1"/>
      <c r="E117" s="1"/>
      <c r="G117" t="s">
        <v>251</v>
      </c>
      <c r="H117" s="67" t="s">
        <v>75</v>
      </c>
      <c r="I117" s="67" t="s">
        <v>71</v>
      </c>
      <c r="J117" s="67"/>
      <c r="K117" s="67"/>
      <c r="L117" s="67"/>
      <c r="M117" s="68"/>
      <c r="N117" s="68"/>
      <c r="O117" s="68"/>
      <c r="P117" s="68"/>
      <c r="Q117" s="68"/>
    </row>
    <row r="118" spans="1:17" x14ac:dyDescent="0.35">
      <c r="A118" s="2" t="s">
        <v>41</v>
      </c>
      <c r="B118" s="1"/>
      <c r="C118" s="8"/>
      <c r="D118" s="1"/>
      <c r="E118" s="1"/>
      <c r="G118" t="s">
        <v>251</v>
      </c>
      <c r="H118" s="67" t="s">
        <v>75</v>
      </c>
      <c r="I118" s="67" t="s">
        <v>71</v>
      </c>
      <c r="J118" s="67"/>
      <c r="K118" s="67"/>
      <c r="L118" s="67"/>
      <c r="M118" s="68"/>
      <c r="N118" s="68"/>
      <c r="O118" s="68"/>
      <c r="P118" s="68"/>
      <c r="Q118" s="68"/>
    </row>
    <row r="119" spans="1:17" x14ac:dyDescent="0.35">
      <c r="A119" s="2" t="s">
        <v>190</v>
      </c>
      <c r="B119" s="1"/>
      <c r="C119" s="8"/>
      <c r="D119" s="1"/>
      <c r="E119" s="1"/>
      <c r="G119" t="s">
        <v>251</v>
      </c>
      <c r="H119" s="67"/>
      <c r="I119" s="67"/>
      <c r="J119" s="67"/>
      <c r="K119" s="67"/>
      <c r="L119" s="67"/>
      <c r="M119" s="68"/>
      <c r="N119" s="68"/>
      <c r="O119" s="68"/>
      <c r="P119" s="68"/>
      <c r="Q119" s="68"/>
    </row>
    <row r="120" spans="1:17" x14ac:dyDescent="0.35">
      <c r="A120" s="2"/>
      <c r="B120" s="1"/>
      <c r="C120" s="8"/>
      <c r="D120" s="1"/>
      <c r="H120" s="67"/>
      <c r="I120" s="67"/>
      <c r="J120" s="67"/>
      <c r="K120" s="67"/>
      <c r="L120" s="67"/>
      <c r="M120" s="68"/>
      <c r="N120" s="68"/>
      <c r="O120" s="68"/>
      <c r="P120" s="68"/>
      <c r="Q120" s="68"/>
    </row>
    <row r="121" spans="1:17" ht="15" thickBot="1" x14ac:dyDescent="0.4">
      <c r="A121" s="10" t="s">
        <v>191</v>
      </c>
      <c r="B121" s="58" t="s">
        <v>4</v>
      </c>
      <c r="C121" s="12" t="s">
        <v>5</v>
      </c>
      <c r="D121" s="11" t="s">
        <v>6</v>
      </c>
      <c r="E121" s="14" t="s">
        <v>7</v>
      </c>
      <c r="H121" s="67"/>
      <c r="I121" s="67"/>
      <c r="J121" s="67"/>
      <c r="K121" s="67"/>
      <c r="L121" s="67"/>
      <c r="M121" s="68"/>
      <c r="N121" s="68"/>
      <c r="O121" s="68"/>
      <c r="P121" s="68"/>
      <c r="Q121" s="68"/>
    </row>
    <row r="122" spans="1:17" ht="15" thickTop="1" x14ac:dyDescent="0.35">
      <c r="A122" s="2" t="s">
        <v>192</v>
      </c>
      <c r="B122" s="52" t="s">
        <v>192</v>
      </c>
      <c r="C122" s="21" t="s">
        <v>165</v>
      </c>
      <c r="D122" s="1"/>
      <c r="E122" s="1"/>
      <c r="H122" s="67"/>
      <c r="I122" s="67"/>
      <c r="J122" s="67"/>
      <c r="K122" s="67"/>
      <c r="L122" s="67"/>
      <c r="M122" s="68"/>
      <c r="N122" s="68"/>
      <c r="O122" s="68"/>
      <c r="P122" s="68"/>
      <c r="Q122" s="68"/>
    </row>
    <row r="123" spans="1:17" x14ac:dyDescent="0.35">
      <c r="A123" s="2" t="s">
        <v>68</v>
      </c>
      <c r="B123" s="53" t="str">
        <f>"vm_list." &amp; C122 &amp; ".Disks.name"</f>
        <v>vm_list.vm1.Disks.name</v>
      </c>
      <c r="C123" s="21" t="s">
        <v>248</v>
      </c>
      <c r="D123" s="1"/>
      <c r="E123" s="1"/>
      <c r="G123" t="s">
        <v>249</v>
      </c>
      <c r="H123" s="67"/>
      <c r="I123" s="67"/>
      <c r="J123" s="67"/>
      <c r="K123" s="67"/>
      <c r="L123" s="67"/>
      <c r="M123" s="68"/>
      <c r="N123" s="68"/>
      <c r="O123" s="68"/>
      <c r="P123" s="68"/>
      <c r="Q123" s="68"/>
    </row>
    <row r="124" spans="1:17" x14ac:dyDescent="0.35">
      <c r="A124" s="2" t="s">
        <v>193</v>
      </c>
      <c r="B124" s="53" t="str">
        <f>"vm_list." &amp; C122 &amp; ".Disks.data_disk_sizes"</f>
        <v>vm_list.vm1.Disks.data_disk_sizes</v>
      </c>
      <c r="C124" s="8" t="s">
        <v>274</v>
      </c>
      <c r="D124" s="1"/>
      <c r="E124" s="1"/>
      <c r="G124" t="s">
        <v>251</v>
      </c>
      <c r="H124" s="67"/>
      <c r="I124" s="67"/>
      <c r="J124" s="67"/>
      <c r="K124" s="67"/>
      <c r="L124" s="67"/>
      <c r="M124" s="68"/>
      <c r="N124" s="68"/>
      <c r="O124" s="68"/>
      <c r="P124" s="68"/>
      <c r="Q124" s="68"/>
    </row>
    <row r="125" spans="1:17" x14ac:dyDescent="0.35">
      <c r="A125" s="2" t="s">
        <v>195</v>
      </c>
      <c r="B125" s="53" t="str">
        <f>"vm_list." &amp; C122 &amp; ".Disks.data_disk_type"</f>
        <v>vm_list.vm1.Disks.data_disk_type</v>
      </c>
      <c r="C125" s="8"/>
      <c r="D125" s="1"/>
      <c r="E125" s="1"/>
      <c r="G125" t="s">
        <v>251</v>
      </c>
      <c r="H125" s="66" t="s">
        <v>263</v>
      </c>
      <c r="I125" s="66" t="s">
        <v>264</v>
      </c>
      <c r="J125" s="66" t="s">
        <v>265</v>
      </c>
      <c r="K125" s="66" t="s">
        <v>266</v>
      </c>
      <c r="L125" s="66" t="s">
        <v>175</v>
      </c>
      <c r="M125" s="69" t="s">
        <v>267</v>
      </c>
      <c r="N125" s="69" t="s">
        <v>268</v>
      </c>
      <c r="O125" s="68"/>
      <c r="P125" s="68"/>
      <c r="Q125" s="68"/>
    </row>
    <row r="126" spans="1:17" x14ac:dyDescent="0.35">
      <c r="A126" s="2" t="s">
        <v>196</v>
      </c>
      <c r="B126" s="1"/>
      <c r="C126" s="8"/>
      <c r="D126" s="1"/>
      <c r="E126" s="1"/>
      <c r="G126" t="s">
        <v>251</v>
      </c>
      <c r="H126" s="67"/>
      <c r="I126" s="67"/>
      <c r="J126" s="67"/>
      <c r="K126" s="67"/>
      <c r="L126" s="67"/>
      <c r="M126" s="68"/>
      <c r="N126" s="68"/>
      <c r="O126" s="68"/>
      <c r="P126" s="68"/>
      <c r="Q126" s="68"/>
    </row>
    <row r="127" spans="1:17" x14ac:dyDescent="0.35">
      <c r="A127" s="2"/>
      <c r="B127" s="1"/>
      <c r="C127" s="8"/>
      <c r="D127" s="1"/>
      <c r="E127" s="1"/>
      <c r="H127" s="67"/>
      <c r="I127" s="67"/>
      <c r="J127" s="67"/>
      <c r="K127" s="67"/>
      <c r="L127" s="67"/>
      <c r="M127" s="68"/>
      <c r="N127" s="68"/>
      <c r="O127" s="68"/>
      <c r="P127" s="68"/>
      <c r="Q127" s="68"/>
    </row>
    <row r="128" spans="1:17" ht="15" thickBot="1" x14ac:dyDescent="0.4">
      <c r="A128" s="44" t="s">
        <v>275</v>
      </c>
      <c r="B128" s="56" t="s">
        <v>4</v>
      </c>
      <c r="C128" s="46" t="s">
        <v>5</v>
      </c>
      <c r="D128" s="46" t="s">
        <v>6</v>
      </c>
      <c r="E128" s="46" t="s">
        <v>7</v>
      </c>
      <c r="H128" s="68"/>
      <c r="I128" s="68"/>
      <c r="J128" s="68"/>
      <c r="K128" s="68"/>
      <c r="L128" s="68"/>
      <c r="M128" s="68"/>
      <c r="N128" s="68"/>
      <c r="O128" s="68"/>
      <c r="P128" s="68"/>
      <c r="Q128" s="68"/>
    </row>
    <row r="129" spans="1:17" ht="15" thickTop="1" x14ac:dyDescent="0.35">
      <c r="A129" s="2" t="s">
        <v>107</v>
      </c>
      <c r="B129" s="54" t="s">
        <v>108</v>
      </c>
      <c r="C129" s="21" t="s">
        <v>67</v>
      </c>
      <c r="D129" s="1"/>
      <c r="E129" s="1"/>
      <c r="H129" s="68"/>
      <c r="I129" s="68"/>
      <c r="J129" s="68"/>
      <c r="K129" s="68"/>
      <c r="L129" s="68"/>
      <c r="M129" s="68"/>
      <c r="N129" s="68"/>
      <c r="O129" s="68"/>
      <c r="P129" s="68"/>
      <c r="Q129" s="68"/>
    </row>
    <row r="130" spans="1:17" x14ac:dyDescent="0.35">
      <c r="A130" s="26" t="s">
        <v>276</v>
      </c>
      <c r="B130" s="31" t="s">
        <v>82</v>
      </c>
      <c r="C130" s="28"/>
      <c r="D130" s="6"/>
      <c r="E130" s="49"/>
      <c r="H130" s="68"/>
      <c r="I130" s="68"/>
      <c r="J130" s="68"/>
      <c r="K130" s="68"/>
      <c r="L130" s="68"/>
      <c r="M130" s="68"/>
      <c r="N130" s="68"/>
      <c r="O130" s="68"/>
      <c r="P130" s="68"/>
      <c r="Q130" s="68"/>
    </row>
    <row r="131" spans="1:17" x14ac:dyDescent="0.35">
      <c r="A131" s="26"/>
      <c r="B131" s="31" t="s">
        <v>277</v>
      </c>
      <c r="C131" s="28"/>
      <c r="D131" s="29"/>
      <c r="E131" s="49"/>
      <c r="H131" s="69" t="s">
        <v>278</v>
      </c>
      <c r="I131" s="69" t="s">
        <v>279</v>
      </c>
      <c r="J131" s="69" t="s">
        <v>280</v>
      </c>
      <c r="K131" s="69" t="s">
        <v>281</v>
      </c>
      <c r="L131" s="76" t="s">
        <v>282</v>
      </c>
      <c r="M131" s="68"/>
      <c r="N131" s="68"/>
      <c r="O131" s="68"/>
      <c r="P131" s="68"/>
      <c r="Q131" s="68"/>
    </row>
    <row r="132" spans="1:17" x14ac:dyDescent="0.35">
      <c r="A132" s="26" t="s">
        <v>283</v>
      </c>
      <c r="B132" s="31" t="s">
        <v>284</v>
      </c>
      <c r="C132" s="28"/>
      <c r="D132" s="29"/>
      <c r="E132" s="49"/>
      <c r="H132" s="69" t="s">
        <v>131</v>
      </c>
      <c r="I132" s="69" t="s">
        <v>285</v>
      </c>
      <c r="J132" s="68"/>
      <c r="K132" s="68"/>
      <c r="L132" s="68"/>
      <c r="M132" s="68"/>
      <c r="N132" s="68"/>
      <c r="O132" s="68"/>
      <c r="P132" s="68"/>
      <c r="Q132" s="68"/>
    </row>
    <row r="133" spans="1:17" x14ac:dyDescent="0.35">
      <c r="A133" s="26" t="s">
        <v>286</v>
      </c>
      <c r="B133" s="31" t="s">
        <v>287</v>
      </c>
      <c r="C133" s="28"/>
      <c r="D133" s="29"/>
      <c r="E133" s="49"/>
      <c r="H133" s="69" t="s">
        <v>288</v>
      </c>
      <c r="I133" s="69" t="s">
        <v>289</v>
      </c>
      <c r="J133" s="69" t="s">
        <v>290</v>
      </c>
      <c r="K133" s="69" t="s">
        <v>291</v>
      </c>
      <c r="L133" s="69" t="s">
        <v>292</v>
      </c>
      <c r="M133" s="69" t="s">
        <v>293</v>
      </c>
      <c r="N133" s="68"/>
      <c r="O133" s="68"/>
      <c r="P133" s="68"/>
      <c r="Q133" s="68"/>
    </row>
    <row r="134" spans="1:17" x14ac:dyDescent="0.35">
      <c r="A134" s="32" t="s">
        <v>146</v>
      </c>
      <c r="B134" s="33"/>
      <c r="C134" s="28"/>
      <c r="D134" s="29"/>
      <c r="E134" s="49"/>
      <c r="H134" s="68"/>
      <c r="I134" s="68"/>
      <c r="J134" s="68"/>
      <c r="K134" s="68"/>
      <c r="L134" s="68"/>
      <c r="M134" s="68"/>
      <c r="N134" s="68"/>
      <c r="O134" s="68"/>
      <c r="P134" s="68"/>
      <c r="Q134" s="68"/>
    </row>
    <row r="135" spans="1:17" x14ac:dyDescent="0.35">
      <c r="A135" s="32" t="s">
        <v>106</v>
      </c>
      <c r="B135" s="33"/>
      <c r="C135" s="28"/>
      <c r="D135" s="29"/>
      <c r="E135" s="49"/>
      <c r="H135" s="68"/>
      <c r="I135" s="68"/>
      <c r="J135" s="68"/>
      <c r="K135" s="68"/>
      <c r="L135" s="68"/>
      <c r="M135" s="68"/>
      <c r="N135" s="68"/>
      <c r="O135" s="68"/>
      <c r="P135" s="68"/>
      <c r="Q135" s="68"/>
    </row>
    <row r="136" spans="1:17" x14ac:dyDescent="0.35">
      <c r="A136" s="26" t="s">
        <v>294</v>
      </c>
      <c r="B136" s="27"/>
      <c r="C136" s="28"/>
      <c r="D136" s="29"/>
      <c r="E136" s="49"/>
      <c r="H136" s="68"/>
      <c r="I136" s="68"/>
      <c r="J136" s="68"/>
      <c r="K136" s="68"/>
      <c r="L136" s="68"/>
      <c r="M136" s="68"/>
      <c r="N136" s="68"/>
      <c r="O136" s="68"/>
      <c r="P136" s="68"/>
      <c r="Q136" s="68"/>
    </row>
    <row r="137" spans="1:17" x14ac:dyDescent="0.35">
      <c r="A137" s="2"/>
      <c r="B137" s="1"/>
      <c r="C137" s="8"/>
      <c r="D137" s="1"/>
      <c r="H137" s="68"/>
      <c r="I137" s="68"/>
      <c r="J137" s="68"/>
      <c r="K137" s="68"/>
      <c r="L137" s="68"/>
      <c r="M137" s="68"/>
      <c r="N137" s="68"/>
      <c r="O137" s="68"/>
      <c r="P137" s="68"/>
      <c r="Q137" s="68"/>
    </row>
    <row r="138" spans="1:17" ht="15" thickBot="1" x14ac:dyDescent="0.4">
      <c r="A138" s="10" t="s">
        <v>295</v>
      </c>
      <c r="B138" s="58" t="s">
        <v>4</v>
      </c>
      <c r="C138" s="12" t="s">
        <v>5</v>
      </c>
      <c r="D138" s="11" t="s">
        <v>6</v>
      </c>
      <c r="E138" s="14" t="s">
        <v>7</v>
      </c>
      <c r="H138" s="68"/>
      <c r="I138" s="68"/>
      <c r="J138" s="68"/>
      <c r="K138" s="68"/>
      <c r="L138" s="68"/>
      <c r="M138" s="68"/>
      <c r="N138" s="68"/>
      <c r="O138" s="68"/>
      <c r="P138" s="68"/>
      <c r="Q138" s="68"/>
    </row>
    <row r="139" spans="1:17" ht="15" thickTop="1" x14ac:dyDescent="0.35">
      <c r="A139" s="59" t="s">
        <v>275</v>
      </c>
      <c r="B139" s="52" t="s">
        <v>296</v>
      </c>
      <c r="C139" s="21"/>
      <c r="D139" s="6"/>
      <c r="E139" s="1"/>
      <c r="H139" s="68"/>
      <c r="I139" s="68"/>
      <c r="J139" s="68"/>
      <c r="K139" s="68"/>
      <c r="L139" s="68"/>
      <c r="M139" s="68"/>
      <c r="N139" s="68"/>
      <c r="O139" s="68"/>
      <c r="P139" s="68"/>
      <c r="Q139" s="68"/>
    </row>
    <row r="140" spans="1:17" x14ac:dyDescent="0.35">
      <c r="A140" s="2" t="s">
        <v>68</v>
      </c>
      <c r="B140" s="53" t="s">
        <v>82</v>
      </c>
      <c r="C140" s="8"/>
      <c r="D140" s="6"/>
      <c r="E140" s="1"/>
      <c r="H140" s="68"/>
      <c r="I140" s="68"/>
      <c r="J140" s="68"/>
      <c r="K140" s="68"/>
      <c r="L140" s="68"/>
      <c r="M140" s="68"/>
      <c r="N140" s="68"/>
      <c r="O140" s="68"/>
      <c r="P140" s="68"/>
      <c r="Q140" s="68"/>
    </row>
    <row r="141" spans="1:17" x14ac:dyDescent="0.35">
      <c r="A141" s="2" t="s">
        <v>297</v>
      </c>
      <c r="B141" s="53" t="s">
        <v>298</v>
      </c>
      <c r="C141" s="8"/>
      <c r="D141" s="1"/>
      <c r="E141" s="1"/>
      <c r="H141" s="71" t="s">
        <v>299</v>
      </c>
      <c r="I141" s="68"/>
      <c r="J141" s="68"/>
      <c r="K141" s="68"/>
      <c r="L141" s="68"/>
      <c r="M141" s="68"/>
      <c r="N141" s="68"/>
      <c r="O141" s="68"/>
      <c r="P141" s="68"/>
      <c r="Q141" s="68"/>
    </row>
    <row r="142" spans="1:17" x14ac:dyDescent="0.35">
      <c r="A142" s="2" t="s">
        <v>300</v>
      </c>
      <c r="B142" s="53" t="s">
        <v>301</v>
      </c>
      <c r="C142" s="8"/>
      <c r="D142" s="1"/>
      <c r="E142" s="1"/>
      <c r="H142" s="69" t="s">
        <v>302</v>
      </c>
      <c r="I142" s="69" t="s">
        <v>303</v>
      </c>
      <c r="J142" s="68"/>
      <c r="K142" s="68"/>
      <c r="L142" s="68"/>
      <c r="M142" s="68"/>
      <c r="N142" s="68"/>
      <c r="O142" s="68"/>
      <c r="P142" s="68"/>
      <c r="Q142" s="68"/>
    </row>
    <row r="143" spans="1:17" x14ac:dyDescent="0.35">
      <c r="A143" s="2" t="s">
        <v>304</v>
      </c>
      <c r="B143" s="53" t="s">
        <v>305</v>
      </c>
      <c r="C143" s="8"/>
      <c r="D143" s="1"/>
      <c r="E143" s="1"/>
      <c r="H143" s="69" t="s">
        <v>306</v>
      </c>
      <c r="I143" s="53" t="s">
        <v>307</v>
      </c>
      <c r="J143" s="69" t="s">
        <v>308</v>
      </c>
      <c r="K143" s="69" t="s">
        <v>285</v>
      </c>
      <c r="L143" s="68"/>
      <c r="M143" s="68"/>
      <c r="N143" s="68"/>
      <c r="O143" s="68"/>
      <c r="P143" s="68"/>
      <c r="Q143" s="68"/>
    </row>
    <row r="144" spans="1:17" x14ac:dyDescent="0.35">
      <c r="A144" s="2"/>
      <c r="B144" s="1"/>
      <c r="C144" s="8"/>
      <c r="D144" s="1"/>
      <c r="H144" s="67"/>
      <c r="I144" s="67"/>
      <c r="J144" s="67"/>
      <c r="K144" s="67"/>
      <c r="L144" s="67"/>
      <c r="M144" s="68"/>
      <c r="N144" s="68"/>
      <c r="O144" s="68"/>
      <c r="P144" s="68"/>
      <c r="Q144" s="68"/>
    </row>
    <row r="145" spans="1:17" ht="15" thickBot="1" x14ac:dyDescent="0.4">
      <c r="A145" s="60" t="s">
        <v>309</v>
      </c>
      <c r="B145" s="57" t="s">
        <v>4</v>
      </c>
      <c r="C145" s="34" t="s">
        <v>5</v>
      </c>
      <c r="D145" s="35" t="s">
        <v>6</v>
      </c>
      <c r="E145" s="36" t="s">
        <v>7</v>
      </c>
      <c r="H145" s="68"/>
      <c r="I145" s="68"/>
      <c r="J145" s="68"/>
      <c r="K145" s="68"/>
      <c r="L145" s="67"/>
      <c r="M145" s="68"/>
      <c r="N145" s="68"/>
      <c r="O145" s="68"/>
      <c r="P145" s="68"/>
      <c r="Q145" s="68"/>
    </row>
    <row r="146" spans="1:17" ht="15" thickTop="1" x14ac:dyDescent="0.35">
      <c r="A146" s="2" t="s">
        <v>107</v>
      </c>
      <c r="B146" s="54" t="s">
        <v>108</v>
      </c>
      <c r="C146" s="21" t="s">
        <v>67</v>
      </c>
      <c r="D146" s="1"/>
      <c r="E146" s="1"/>
      <c r="H146"/>
      <c r="I146"/>
      <c r="J146"/>
      <c r="K146"/>
      <c r="L146"/>
      <c r="M146"/>
      <c r="N146"/>
      <c r="O146"/>
      <c r="P146"/>
      <c r="Q146" s="68"/>
    </row>
    <row r="147" spans="1:17" x14ac:dyDescent="0.35">
      <c r="A147" s="26" t="s">
        <v>310</v>
      </c>
      <c r="B147" s="31" t="s">
        <v>82</v>
      </c>
      <c r="C147" s="87"/>
      <c r="D147" s="6"/>
      <c r="E147" s="88"/>
      <c r="H147" s="7"/>
      <c r="I147" s="7"/>
      <c r="J147" s="7"/>
      <c r="K147" s="7"/>
      <c r="L147" s="7"/>
      <c r="M147"/>
      <c r="N147"/>
      <c r="O147"/>
      <c r="P147"/>
      <c r="Q147" s="68"/>
    </row>
    <row r="148" spans="1:17" x14ac:dyDescent="0.35">
      <c r="A148" s="26" t="s">
        <v>311</v>
      </c>
      <c r="B148" s="31" t="s">
        <v>77</v>
      </c>
      <c r="C148" s="90"/>
      <c r="D148" s="86"/>
      <c r="E148" s="88"/>
      <c r="H148" s="7" t="s">
        <v>312</v>
      </c>
      <c r="I148" s="7" t="s">
        <v>313</v>
      </c>
      <c r="J148" s="7" t="s">
        <v>314</v>
      </c>
      <c r="K148" s="7"/>
      <c r="L148" s="7"/>
      <c r="M148"/>
      <c r="N148"/>
      <c r="O148"/>
      <c r="P148"/>
      <c r="Q148" s="68"/>
    </row>
    <row r="149" spans="1:17" x14ac:dyDescent="0.35">
      <c r="A149" s="26" t="s">
        <v>315</v>
      </c>
      <c r="B149" s="31" t="s">
        <v>316</v>
      </c>
      <c r="C149" s="90"/>
      <c r="D149" s="86"/>
      <c r="E149" s="88"/>
      <c r="H149" s="92" t="s">
        <v>317</v>
      </c>
      <c r="I149" s="92" t="s">
        <v>131</v>
      </c>
      <c r="J149" s="92" t="s">
        <v>285</v>
      </c>
      <c r="K149" s="7"/>
      <c r="L149" s="7"/>
      <c r="M149"/>
      <c r="N149"/>
      <c r="O149"/>
      <c r="P149"/>
      <c r="Q149" s="68"/>
    </row>
    <row r="150" spans="1:17" x14ac:dyDescent="0.35">
      <c r="A150" s="26" t="s">
        <v>318</v>
      </c>
      <c r="B150" s="31" t="s">
        <v>319</v>
      </c>
      <c r="C150" s="90"/>
      <c r="D150" s="86"/>
      <c r="E150" s="88"/>
      <c r="H150" s="7"/>
      <c r="I150" s="7"/>
      <c r="J150" s="7"/>
      <c r="K150" s="7"/>
      <c r="L150" s="7"/>
      <c r="M150"/>
      <c r="N150"/>
      <c r="O150"/>
      <c r="P150"/>
      <c r="Q150" s="68"/>
    </row>
    <row r="151" spans="1:17" x14ac:dyDescent="0.35">
      <c r="A151" s="91" t="s">
        <v>320</v>
      </c>
      <c r="B151" s="31" t="s">
        <v>321</v>
      </c>
      <c r="C151" s="28" t="s">
        <v>322</v>
      </c>
      <c r="D151" s="86"/>
      <c r="E151" s="88"/>
      <c r="H151" s="92" t="s">
        <v>322</v>
      </c>
      <c r="I151" s="92" t="s">
        <v>323</v>
      </c>
      <c r="J151" s="92" t="s">
        <v>324</v>
      </c>
      <c r="K151" s="92" t="s">
        <v>325</v>
      </c>
      <c r="L151" s="92" t="s">
        <v>326</v>
      </c>
      <c r="M151" s="92" t="s">
        <v>327</v>
      </c>
      <c r="N151" s="92" t="s">
        <v>328</v>
      </c>
      <c r="O151" s="7"/>
      <c r="P151" s="7"/>
      <c r="Q151" s="68"/>
    </row>
    <row r="152" spans="1:17" x14ac:dyDescent="0.35">
      <c r="A152" s="26"/>
      <c r="B152" s="89" t="s">
        <v>329</v>
      </c>
      <c r="C152" s="28" t="s">
        <v>274</v>
      </c>
      <c r="D152" s="86"/>
      <c r="E152" s="88"/>
      <c r="H152" s="92" t="s">
        <v>330</v>
      </c>
      <c r="I152" s="7"/>
      <c r="J152" s="7"/>
      <c r="K152" s="7"/>
      <c r="L152" s="7"/>
      <c r="M152"/>
      <c r="N152"/>
      <c r="O152"/>
      <c r="P152"/>
      <c r="Q152" s="68"/>
    </row>
    <row r="153" spans="1:17" x14ac:dyDescent="0.35">
      <c r="A153" s="26" t="s">
        <v>331</v>
      </c>
      <c r="B153" s="31" t="s">
        <v>332</v>
      </c>
      <c r="C153" s="87" t="s">
        <v>333</v>
      </c>
      <c r="D153" s="86"/>
      <c r="E153" s="88"/>
      <c r="H153" s="92" t="s">
        <v>333</v>
      </c>
      <c r="I153" s="92" t="s">
        <v>334</v>
      </c>
      <c r="J153" s="92" t="s">
        <v>335</v>
      </c>
      <c r="K153" s="92" t="s">
        <v>336</v>
      </c>
      <c r="L153" s="92" t="s">
        <v>337</v>
      </c>
      <c r="M153"/>
      <c r="N153"/>
      <c r="O153"/>
      <c r="P153"/>
      <c r="Q153" s="68"/>
    </row>
    <row r="154" spans="1:17" x14ac:dyDescent="0.35">
      <c r="A154" s="26" t="s">
        <v>338</v>
      </c>
      <c r="B154" s="89" t="s">
        <v>339</v>
      </c>
      <c r="C154" s="92" t="s">
        <v>340</v>
      </c>
      <c r="D154" s="86"/>
      <c r="E154" s="88"/>
      <c r="H154" s="92" t="s">
        <v>341</v>
      </c>
      <c r="I154" s="92" t="s">
        <v>340</v>
      </c>
      <c r="J154" s="92" t="s">
        <v>342</v>
      </c>
      <c r="K154" s="7"/>
      <c r="L154" s="7"/>
      <c r="M154"/>
      <c r="N154"/>
      <c r="O154"/>
      <c r="P154"/>
      <c r="Q154" s="68"/>
    </row>
    <row r="155" spans="1:17" x14ac:dyDescent="0.35">
      <c r="A155" s="26"/>
      <c r="B155" s="31" t="s">
        <v>343</v>
      </c>
      <c r="C155" s="28" t="s">
        <v>344</v>
      </c>
      <c r="D155" s="86"/>
      <c r="E155" s="88"/>
      <c r="H155"/>
      <c r="I155" s="7"/>
      <c r="J155" s="7"/>
      <c r="K155" s="7"/>
      <c r="L155" s="7"/>
      <c r="M155"/>
      <c r="N155"/>
      <c r="O155"/>
      <c r="P155"/>
      <c r="Q155" s="68"/>
    </row>
    <row r="156" spans="1:17" x14ac:dyDescent="0.35">
      <c r="A156" s="26"/>
      <c r="B156" s="89" t="s">
        <v>345</v>
      </c>
      <c r="C156" s="28" t="s">
        <v>346</v>
      </c>
      <c r="D156" s="86"/>
      <c r="E156" s="88"/>
      <c r="H156" s="94" t="s">
        <v>347</v>
      </c>
      <c r="I156" s="7"/>
      <c r="J156" s="7"/>
      <c r="K156" s="7"/>
      <c r="L156" s="7"/>
      <c r="M156"/>
      <c r="N156"/>
      <c r="O156"/>
      <c r="P156"/>
      <c r="Q156" s="68"/>
    </row>
    <row r="157" spans="1:17" x14ac:dyDescent="0.35">
      <c r="A157" s="26"/>
      <c r="B157" s="89" t="s">
        <v>348</v>
      </c>
      <c r="C157" s="28" t="s">
        <v>327</v>
      </c>
      <c r="D157" s="86"/>
      <c r="E157" s="88"/>
      <c r="H157" s="92" t="s">
        <v>322</v>
      </c>
      <c r="I157" s="92" t="s">
        <v>323</v>
      </c>
      <c r="J157" s="92" t="s">
        <v>324</v>
      </c>
      <c r="K157" s="92" t="s">
        <v>325</v>
      </c>
      <c r="L157" s="92" t="s">
        <v>326</v>
      </c>
      <c r="M157" s="92" t="s">
        <v>327</v>
      </c>
      <c r="N157" s="92" t="s">
        <v>328</v>
      </c>
      <c r="O157"/>
      <c r="P157"/>
      <c r="Q157" s="68"/>
    </row>
    <row r="158" spans="1:17" x14ac:dyDescent="0.35">
      <c r="A158" s="26" t="s">
        <v>349</v>
      </c>
      <c r="B158" s="31" t="s">
        <v>350</v>
      </c>
      <c r="C158" s="90" t="s">
        <v>351</v>
      </c>
      <c r="D158" s="86"/>
      <c r="E158" s="88"/>
      <c r="H158" s="92" t="s">
        <v>352</v>
      </c>
      <c r="I158" s="92" t="s">
        <v>353</v>
      </c>
      <c r="J158" s="92" t="s">
        <v>351</v>
      </c>
      <c r="K158" s="92" t="s">
        <v>354</v>
      </c>
      <c r="L158" s="7"/>
      <c r="M158"/>
      <c r="N158"/>
      <c r="O158"/>
      <c r="P158"/>
      <c r="Q158" s="68"/>
    </row>
    <row r="159" spans="1:17" x14ac:dyDescent="0.35">
      <c r="A159" s="26" t="s">
        <v>355</v>
      </c>
      <c r="B159" s="31" t="s">
        <v>356</v>
      </c>
      <c r="C159" s="90" t="s">
        <v>357</v>
      </c>
      <c r="D159" s="86"/>
      <c r="E159" s="88"/>
      <c r="H159" s="92" t="s">
        <v>358</v>
      </c>
      <c r="I159" s="92" t="s">
        <v>341</v>
      </c>
      <c r="J159" s="92" t="s">
        <v>340</v>
      </c>
      <c r="K159" s="92" t="s">
        <v>342</v>
      </c>
      <c r="L159" s="7"/>
      <c r="M159"/>
      <c r="N159"/>
      <c r="O159"/>
      <c r="P159"/>
      <c r="Q159" s="68"/>
    </row>
    <row r="160" spans="1:17" x14ac:dyDescent="0.35">
      <c r="A160" s="26"/>
      <c r="B160" s="31" t="s">
        <v>359</v>
      </c>
      <c r="C160" s="90"/>
      <c r="D160" s="86"/>
      <c r="E160" s="88"/>
      <c r="H160"/>
      <c r="I160" s="7"/>
      <c r="J160"/>
      <c r="K160" s="7"/>
      <c r="L160" s="7"/>
      <c r="M160"/>
      <c r="N160"/>
      <c r="O160"/>
      <c r="P160"/>
      <c r="Q160" s="68"/>
    </row>
    <row r="161" spans="1:17" x14ac:dyDescent="0.35">
      <c r="A161" s="26"/>
      <c r="B161" s="31" t="s">
        <v>360</v>
      </c>
      <c r="C161" s="90"/>
      <c r="D161" s="86"/>
      <c r="E161" s="88"/>
      <c r="H161" s="94" t="s">
        <v>347</v>
      </c>
      <c r="I161" s="92"/>
      <c r="J161" s="92"/>
      <c r="K161" s="92"/>
      <c r="L161" s="7"/>
      <c r="M161"/>
      <c r="N161"/>
      <c r="O161"/>
      <c r="P161"/>
      <c r="Q161" s="68"/>
    </row>
    <row r="162" spans="1:17" x14ac:dyDescent="0.35">
      <c r="A162" s="26"/>
      <c r="B162" s="31" t="s">
        <v>361</v>
      </c>
      <c r="C162" s="28" t="s">
        <v>322</v>
      </c>
      <c r="D162" s="86"/>
      <c r="E162" s="88"/>
      <c r="H162" s="92" t="s">
        <v>322</v>
      </c>
      <c r="I162" s="92" t="s">
        <v>323</v>
      </c>
      <c r="J162" s="92" t="s">
        <v>324</v>
      </c>
      <c r="K162" s="92" t="s">
        <v>325</v>
      </c>
      <c r="L162" s="92" t="s">
        <v>326</v>
      </c>
      <c r="M162" s="92" t="s">
        <v>327</v>
      </c>
      <c r="N162" s="92" t="s">
        <v>328</v>
      </c>
      <c r="O162"/>
      <c r="P162"/>
      <c r="Q162" s="68"/>
    </row>
    <row r="163" spans="1:17" x14ac:dyDescent="0.35">
      <c r="A163" s="26" t="s">
        <v>362</v>
      </c>
      <c r="B163" s="31" t="s">
        <v>363</v>
      </c>
      <c r="C163" s="87" t="s">
        <v>364</v>
      </c>
      <c r="D163" s="86"/>
      <c r="E163" s="88"/>
      <c r="H163" s="7" t="s">
        <v>365</v>
      </c>
      <c r="I163" s="7" t="s">
        <v>366</v>
      </c>
      <c r="J163" s="7" t="s">
        <v>367</v>
      </c>
      <c r="K163" s="92"/>
      <c r="L163" s="7"/>
      <c r="M163"/>
      <c r="N163"/>
      <c r="O163"/>
      <c r="P163"/>
      <c r="Q163" s="68"/>
    </row>
    <row r="164" spans="1:17" x14ac:dyDescent="0.35">
      <c r="A164" s="26" t="s">
        <v>368</v>
      </c>
      <c r="B164" s="86"/>
      <c r="C164" s="93"/>
      <c r="D164" s="86"/>
      <c r="E164" s="88"/>
      <c r="H164" s="7" t="s">
        <v>32</v>
      </c>
      <c r="I164" s="7"/>
      <c r="J164"/>
      <c r="K164" s="92"/>
      <c r="L164" s="7"/>
      <c r="M164"/>
      <c r="N164"/>
      <c r="O164"/>
      <c r="P164"/>
      <c r="Q164" s="68"/>
    </row>
    <row r="165" spans="1:17" ht="29" x14ac:dyDescent="0.35">
      <c r="A165" s="26" t="s">
        <v>369</v>
      </c>
      <c r="B165" s="86"/>
      <c r="C165" s="38" t="s">
        <v>370</v>
      </c>
      <c r="D165" s="86"/>
      <c r="E165" s="88"/>
      <c r="H165" s="7" t="s">
        <v>371</v>
      </c>
      <c r="I165" s="7" t="s">
        <v>372</v>
      </c>
      <c r="J165"/>
      <c r="K165" s="7"/>
      <c r="L165" s="7"/>
      <c r="M165"/>
      <c r="N165"/>
      <c r="O165"/>
      <c r="P165"/>
      <c r="Q165" s="68"/>
    </row>
    <row r="166" spans="1:17" x14ac:dyDescent="0.35">
      <c r="A166" s="26" t="s">
        <v>157</v>
      </c>
      <c r="B166" s="31" t="s">
        <v>373</v>
      </c>
      <c r="C166" s="87"/>
      <c r="D166" s="86"/>
      <c r="E166" s="88"/>
      <c r="H166"/>
      <c r="I166"/>
      <c r="J166"/>
      <c r="K166" s="7"/>
      <c r="L166" s="7"/>
      <c r="M166"/>
      <c r="N166"/>
      <c r="O166"/>
      <c r="P166"/>
      <c r="Q166" s="68"/>
    </row>
    <row r="167" spans="1:17" x14ac:dyDescent="0.35">
      <c r="A167" s="39" t="s">
        <v>374</v>
      </c>
      <c r="B167" s="27"/>
      <c r="C167" s="37"/>
      <c r="D167" s="27"/>
      <c r="E167" s="30"/>
      <c r="H167" s="68"/>
      <c r="I167" s="68"/>
      <c r="J167" s="68"/>
      <c r="K167" s="68"/>
      <c r="L167" s="67"/>
      <c r="M167" s="68"/>
      <c r="N167" s="68"/>
      <c r="O167" s="68"/>
      <c r="P167" s="68"/>
      <c r="Q167" s="68"/>
    </row>
    <row r="168" spans="1:17" ht="29" x14ac:dyDescent="0.35">
      <c r="A168" s="26" t="s">
        <v>375</v>
      </c>
      <c r="B168" s="31" t="s">
        <v>376</v>
      </c>
      <c r="C168" s="37"/>
      <c r="D168" s="27"/>
      <c r="E168" s="30"/>
      <c r="H168" s="66" t="b">
        <v>1</v>
      </c>
      <c r="I168" s="66" t="b">
        <v>0</v>
      </c>
      <c r="J168" s="68"/>
      <c r="K168" s="68"/>
      <c r="L168" s="67"/>
      <c r="M168" s="68"/>
      <c r="N168" s="68"/>
      <c r="O168" s="68"/>
      <c r="P168" s="68"/>
      <c r="Q168" s="68"/>
    </row>
    <row r="169" spans="1:17" ht="29" x14ac:dyDescent="0.35">
      <c r="A169" s="26" t="s">
        <v>377</v>
      </c>
      <c r="B169" s="31" t="s">
        <v>378</v>
      </c>
      <c r="C169" s="37"/>
      <c r="D169" s="27"/>
      <c r="E169" s="30"/>
      <c r="H169" s="68"/>
      <c r="I169" s="68"/>
      <c r="J169" s="68"/>
      <c r="K169" s="68"/>
      <c r="L169" s="67"/>
      <c r="M169" s="68"/>
      <c r="N169" s="68"/>
      <c r="O169" s="68"/>
      <c r="P169" s="68"/>
      <c r="Q169" s="68"/>
    </row>
    <row r="170" spans="1:17" x14ac:dyDescent="0.35">
      <c r="A170" s="26" t="s">
        <v>379</v>
      </c>
      <c r="B170" s="27"/>
      <c r="C170" s="37"/>
      <c r="D170" s="27"/>
      <c r="E170" s="30"/>
      <c r="H170" s="67" t="s">
        <v>380</v>
      </c>
      <c r="I170" s="67" t="s">
        <v>381</v>
      </c>
      <c r="J170" s="68"/>
      <c r="K170" s="68"/>
      <c r="L170" s="67"/>
      <c r="M170" s="68"/>
      <c r="N170" s="68"/>
      <c r="O170" s="68"/>
      <c r="P170" s="68"/>
      <c r="Q170" s="68"/>
    </row>
    <row r="171" spans="1:17" x14ac:dyDescent="0.35">
      <c r="A171" s="26" t="s">
        <v>382</v>
      </c>
      <c r="B171" s="27"/>
      <c r="C171" s="37"/>
      <c r="D171" s="27"/>
      <c r="E171" s="30"/>
      <c r="H171" s="67" t="s">
        <v>383</v>
      </c>
      <c r="I171" s="67" t="s">
        <v>384</v>
      </c>
      <c r="J171" s="68"/>
      <c r="K171" s="68"/>
      <c r="L171" s="67"/>
      <c r="M171" s="68"/>
      <c r="N171" s="68"/>
      <c r="O171" s="68"/>
      <c r="P171" s="68"/>
      <c r="Q171" s="68"/>
    </row>
    <row r="172" spans="1:17" x14ac:dyDescent="0.35">
      <c r="A172" s="26" t="s">
        <v>385</v>
      </c>
      <c r="B172" s="27"/>
      <c r="C172" s="37"/>
      <c r="D172" s="27"/>
      <c r="E172" s="30"/>
      <c r="H172" s="68"/>
      <c r="I172" s="68"/>
      <c r="J172" s="68"/>
      <c r="K172" s="68"/>
      <c r="L172" s="67"/>
      <c r="M172" s="68"/>
      <c r="N172" s="68"/>
      <c r="O172" s="68"/>
      <c r="P172" s="68"/>
      <c r="Q172" s="68"/>
    </row>
    <row r="173" spans="1:17" x14ac:dyDescent="0.35">
      <c r="A173" s="26" t="s">
        <v>386</v>
      </c>
      <c r="B173" s="31" t="s">
        <v>387</v>
      </c>
      <c r="C173" s="37"/>
      <c r="D173" s="27"/>
      <c r="E173" s="30"/>
      <c r="H173" s="68"/>
      <c r="I173" s="68"/>
      <c r="J173" s="68"/>
      <c r="K173" s="68"/>
      <c r="L173" s="67"/>
      <c r="M173" s="68"/>
      <c r="N173" s="68"/>
      <c r="O173" s="68"/>
      <c r="P173" s="68"/>
      <c r="Q173" s="68"/>
    </row>
    <row r="174" spans="1:17" x14ac:dyDescent="0.35">
      <c r="A174" s="26" t="s">
        <v>388</v>
      </c>
      <c r="B174" s="31" t="s">
        <v>389</v>
      </c>
      <c r="C174" s="37"/>
      <c r="D174" s="27"/>
      <c r="E174" s="30"/>
      <c r="H174" s="68"/>
      <c r="I174" s="68"/>
      <c r="J174" s="68"/>
      <c r="K174" s="68"/>
      <c r="L174" s="67"/>
      <c r="M174" s="68"/>
      <c r="N174" s="68"/>
      <c r="O174" s="68"/>
      <c r="P174" s="68"/>
      <c r="Q174" s="68"/>
    </row>
    <row r="175" spans="1:17" x14ac:dyDescent="0.35">
      <c r="A175" s="26" t="s">
        <v>390</v>
      </c>
      <c r="B175" s="40" t="s">
        <v>391</v>
      </c>
      <c r="C175" s="37"/>
      <c r="D175" s="27"/>
      <c r="E175" s="30"/>
      <c r="H175" s="68"/>
      <c r="I175" s="68"/>
      <c r="J175" s="68"/>
      <c r="K175" s="68"/>
      <c r="L175" s="67"/>
      <c r="M175" s="68"/>
      <c r="N175" s="68"/>
      <c r="O175" s="68"/>
      <c r="P175" s="68"/>
      <c r="Q175" s="68"/>
    </row>
    <row r="176" spans="1:17" x14ac:dyDescent="0.35">
      <c r="A176" s="26" t="s">
        <v>392</v>
      </c>
      <c r="B176" s="31" t="s">
        <v>393</v>
      </c>
      <c r="C176" s="37"/>
      <c r="D176" s="27"/>
      <c r="E176" s="30"/>
      <c r="H176" s="66" t="s">
        <v>394</v>
      </c>
      <c r="I176" s="66" t="s">
        <v>395</v>
      </c>
      <c r="J176" s="66" t="s">
        <v>396</v>
      </c>
      <c r="K176" s="68"/>
      <c r="L176" s="67"/>
      <c r="M176" s="68"/>
      <c r="N176" s="68"/>
      <c r="O176" s="68"/>
      <c r="P176" s="68"/>
      <c r="Q176" s="68"/>
    </row>
    <row r="177" spans="1:17" x14ac:dyDescent="0.35">
      <c r="A177" s="26" t="s">
        <v>397</v>
      </c>
      <c r="B177" s="31" t="s">
        <v>398</v>
      </c>
      <c r="C177" s="37"/>
      <c r="D177" s="27"/>
      <c r="E177" s="30"/>
      <c r="H177" s="69" t="s">
        <v>399</v>
      </c>
      <c r="I177" s="69" t="s">
        <v>243</v>
      </c>
      <c r="J177" s="68"/>
      <c r="K177" s="68"/>
      <c r="L177" s="67"/>
      <c r="M177" s="68"/>
      <c r="N177" s="68"/>
      <c r="O177" s="68"/>
      <c r="P177" s="68"/>
      <c r="Q177" s="68"/>
    </row>
    <row r="178" spans="1:17" x14ac:dyDescent="0.35">
      <c r="A178" s="39" t="s">
        <v>400</v>
      </c>
      <c r="B178" s="27"/>
      <c r="C178" s="37"/>
      <c r="D178" s="27"/>
      <c r="E178" s="30"/>
      <c r="H178" s="68"/>
      <c r="I178" s="68"/>
      <c r="J178" s="68"/>
      <c r="K178" s="68"/>
      <c r="L178" s="67"/>
      <c r="M178" s="68"/>
      <c r="N178" s="68"/>
      <c r="O178" s="68"/>
      <c r="P178" s="68"/>
      <c r="Q178" s="68"/>
    </row>
    <row r="179" spans="1:17" x14ac:dyDescent="0.35">
      <c r="A179" s="26" t="s">
        <v>401</v>
      </c>
      <c r="B179" s="27" t="s">
        <v>402</v>
      </c>
      <c r="C179" s="37"/>
      <c r="D179" s="27"/>
      <c r="E179" s="30"/>
      <c r="H179" s="68"/>
      <c r="I179" s="68"/>
      <c r="J179" s="68"/>
      <c r="K179" s="68"/>
      <c r="L179" s="67"/>
      <c r="M179" s="68"/>
      <c r="N179" s="68"/>
      <c r="O179" s="68"/>
      <c r="P179" s="68"/>
      <c r="Q179" s="68"/>
    </row>
    <row r="180" spans="1:17" x14ac:dyDescent="0.35">
      <c r="A180" s="26" t="s">
        <v>403</v>
      </c>
      <c r="B180" s="27" t="s">
        <v>404</v>
      </c>
      <c r="C180" s="37"/>
      <c r="D180" s="27"/>
      <c r="E180" s="30"/>
      <c r="H180" s="67" t="s">
        <v>405</v>
      </c>
      <c r="I180" s="67"/>
      <c r="J180" s="67"/>
      <c r="K180" s="67"/>
      <c r="L180" s="67"/>
      <c r="M180" s="68"/>
      <c r="N180" s="68"/>
      <c r="O180" s="68"/>
      <c r="P180" s="68"/>
      <c r="Q180" s="68"/>
    </row>
    <row r="181" spans="1:17" x14ac:dyDescent="0.35">
      <c r="A181" s="26" t="s">
        <v>406</v>
      </c>
      <c r="B181" s="31" t="s">
        <v>407</v>
      </c>
      <c r="C181" s="37"/>
      <c r="D181" s="27"/>
      <c r="E181" s="30"/>
      <c r="H181" s="66" t="b">
        <v>1</v>
      </c>
      <c r="I181" s="66" t="b">
        <v>0</v>
      </c>
      <c r="J181" s="67"/>
      <c r="K181" s="67"/>
      <c r="L181" s="67"/>
      <c r="M181" s="68"/>
      <c r="N181" s="68"/>
      <c r="O181" s="68"/>
      <c r="P181" s="68"/>
      <c r="Q181" s="68"/>
    </row>
    <row r="182" spans="1:17" x14ac:dyDescent="0.35">
      <c r="A182" s="26" t="s">
        <v>408</v>
      </c>
      <c r="B182" s="31" t="s">
        <v>409</v>
      </c>
      <c r="C182" s="37"/>
      <c r="D182" s="27"/>
      <c r="E182" s="30"/>
      <c r="H182" s="66" t="b">
        <v>1</v>
      </c>
      <c r="I182" s="66" t="b">
        <v>0</v>
      </c>
      <c r="J182" s="67"/>
      <c r="K182" s="67"/>
      <c r="L182" s="67"/>
      <c r="M182" s="68"/>
      <c r="N182" s="68"/>
      <c r="O182" s="68"/>
      <c r="P182" s="68"/>
      <c r="Q182" s="68"/>
    </row>
    <row r="183" spans="1:17" x14ac:dyDescent="0.35">
      <c r="A183" s="39" t="s">
        <v>410</v>
      </c>
      <c r="B183" s="27"/>
      <c r="C183" s="37"/>
      <c r="D183" s="27"/>
      <c r="E183" s="30"/>
      <c r="H183" s="67"/>
      <c r="I183" s="67"/>
      <c r="J183" s="67"/>
      <c r="K183" s="67"/>
      <c r="L183" s="67"/>
      <c r="M183" s="68"/>
      <c r="N183" s="68"/>
      <c r="O183" s="68"/>
      <c r="P183" s="68"/>
      <c r="Q183" s="68"/>
    </row>
    <row r="184" spans="1:17" x14ac:dyDescent="0.35">
      <c r="A184" s="26" t="s">
        <v>411</v>
      </c>
      <c r="B184" s="27"/>
      <c r="C184" s="37"/>
      <c r="D184" s="27"/>
      <c r="E184" s="30"/>
      <c r="H184" s="67" t="s">
        <v>383</v>
      </c>
      <c r="I184" s="67" t="s">
        <v>384</v>
      </c>
      <c r="J184" s="67"/>
      <c r="K184" s="67"/>
      <c r="L184" s="67"/>
      <c r="M184" s="68"/>
      <c r="N184" s="68"/>
      <c r="O184" s="68"/>
      <c r="P184" s="68"/>
      <c r="Q184" s="68"/>
    </row>
    <row r="185" spans="1:17" ht="29" x14ac:dyDescent="0.35">
      <c r="A185" s="26" t="s">
        <v>412</v>
      </c>
      <c r="B185" s="31" t="s">
        <v>413</v>
      </c>
      <c r="C185" s="61"/>
      <c r="D185" s="27"/>
      <c r="E185" s="30"/>
      <c r="H185" s="67"/>
      <c r="I185" s="67"/>
      <c r="J185" s="67"/>
      <c r="K185" s="67"/>
      <c r="L185" s="67"/>
      <c r="M185" s="68"/>
      <c r="N185" s="68"/>
      <c r="O185" s="68"/>
      <c r="P185" s="68"/>
      <c r="Q185" s="68"/>
    </row>
    <row r="186" spans="1:17" x14ac:dyDescent="0.35">
      <c r="A186" s="26" t="s">
        <v>414</v>
      </c>
      <c r="B186" s="27" t="s">
        <v>415</v>
      </c>
      <c r="C186" s="41"/>
      <c r="D186" s="27"/>
      <c r="E186" s="30"/>
      <c r="H186" s="67" t="s">
        <v>131</v>
      </c>
      <c r="I186" s="67" t="s">
        <v>416</v>
      </c>
      <c r="J186" s="67" t="s">
        <v>417</v>
      </c>
      <c r="K186" s="67" t="s">
        <v>405</v>
      </c>
      <c r="L186" s="67"/>
      <c r="M186" s="68"/>
      <c r="N186" s="68"/>
      <c r="O186" s="68"/>
      <c r="P186" s="68"/>
      <c r="Q186" s="68"/>
    </row>
    <row r="187" spans="1:17" x14ac:dyDescent="0.35">
      <c r="A187" s="39" t="s">
        <v>418</v>
      </c>
      <c r="B187" s="27"/>
      <c r="C187" s="37"/>
      <c r="D187" s="27"/>
      <c r="E187" s="30"/>
      <c r="H187" s="67"/>
      <c r="I187" s="67"/>
      <c r="J187" s="68"/>
      <c r="K187" s="68"/>
      <c r="L187" s="67"/>
      <c r="M187" s="68"/>
      <c r="N187" s="68"/>
      <c r="O187" s="68"/>
      <c r="P187" s="68"/>
      <c r="Q187" s="68"/>
    </row>
    <row r="188" spans="1:17" x14ac:dyDescent="0.35">
      <c r="A188" s="26" t="s">
        <v>419</v>
      </c>
      <c r="B188" s="27"/>
      <c r="C188" s="28"/>
      <c r="D188" s="27"/>
      <c r="E188" s="30"/>
      <c r="H188" s="67" t="s">
        <v>383</v>
      </c>
      <c r="I188" s="67" t="s">
        <v>384</v>
      </c>
      <c r="J188" s="68"/>
      <c r="K188" s="68"/>
      <c r="L188" s="67"/>
      <c r="M188" s="68"/>
      <c r="N188" s="68"/>
      <c r="O188" s="68"/>
      <c r="P188" s="68"/>
      <c r="Q188" s="68"/>
    </row>
    <row r="189" spans="1:17" x14ac:dyDescent="0.35">
      <c r="A189" s="26" t="s">
        <v>420</v>
      </c>
      <c r="B189" s="31" t="s">
        <v>421</v>
      </c>
      <c r="C189" s="28"/>
      <c r="D189" s="27"/>
      <c r="E189" s="30"/>
      <c r="H189" s="68"/>
      <c r="I189" s="68"/>
      <c r="J189" s="68"/>
      <c r="K189" s="68"/>
      <c r="L189" s="67"/>
      <c r="M189" s="68"/>
      <c r="N189" s="68"/>
      <c r="O189" s="68"/>
      <c r="P189" s="68"/>
      <c r="Q189" s="68"/>
    </row>
    <row r="190" spans="1:17" x14ac:dyDescent="0.35">
      <c r="A190"/>
      <c r="C190" s="77"/>
      <c r="H190" s="68"/>
      <c r="I190" s="68"/>
      <c r="J190" s="68"/>
      <c r="K190" s="68"/>
      <c r="L190" s="67"/>
      <c r="M190" s="68"/>
      <c r="N190" s="68"/>
      <c r="O190" s="68"/>
      <c r="P190" s="68"/>
      <c r="Q190" s="68"/>
    </row>
    <row r="191" spans="1:17" ht="15" thickBot="1" x14ac:dyDescent="0.4">
      <c r="A191" s="44" t="s">
        <v>422</v>
      </c>
      <c r="B191" s="48" t="s">
        <v>4</v>
      </c>
      <c r="C191" s="45" t="s">
        <v>5</v>
      </c>
      <c r="D191" s="46" t="s">
        <v>6</v>
      </c>
      <c r="E191" s="46" t="s">
        <v>7</v>
      </c>
      <c r="H191" s="68"/>
      <c r="I191" s="68"/>
      <c r="J191" s="68"/>
      <c r="K191" s="68"/>
      <c r="L191" s="67"/>
      <c r="M191" s="68"/>
      <c r="N191" s="68"/>
      <c r="O191" s="68"/>
      <c r="P191" s="68"/>
      <c r="Q191" s="68"/>
    </row>
    <row r="192" spans="1:17" ht="15" thickTop="1" x14ac:dyDescent="0.35">
      <c r="A192" s="26" t="s">
        <v>423</v>
      </c>
      <c r="B192" s="31" t="s">
        <v>82</v>
      </c>
      <c r="C192" s="37"/>
      <c r="D192" s="6"/>
      <c r="E192" s="49"/>
      <c r="H192" s="68"/>
      <c r="I192" s="68"/>
      <c r="J192" s="68"/>
      <c r="K192" s="68"/>
      <c r="L192" s="67"/>
      <c r="M192" s="68"/>
      <c r="N192" s="68"/>
      <c r="O192" s="68"/>
      <c r="P192" s="68"/>
      <c r="Q192" s="68"/>
    </row>
    <row r="193" spans="1:17" x14ac:dyDescent="0.35">
      <c r="A193" s="26" t="s">
        <v>424</v>
      </c>
      <c r="B193" s="31" t="s">
        <v>425</v>
      </c>
      <c r="C193" s="43" t="s">
        <v>426</v>
      </c>
      <c r="D193" s="27"/>
      <c r="E193" s="49"/>
      <c r="H193" s="66" t="s">
        <v>203</v>
      </c>
      <c r="I193" s="66" t="s">
        <v>426</v>
      </c>
      <c r="J193" s="68"/>
      <c r="K193" s="68"/>
      <c r="L193" s="67"/>
      <c r="M193" s="68"/>
      <c r="N193" s="68"/>
      <c r="O193" s="68"/>
      <c r="P193" s="68"/>
      <c r="Q193" s="68"/>
    </row>
    <row r="194" spans="1:17" x14ac:dyDescent="0.35">
      <c r="A194" s="26" t="s">
        <v>186</v>
      </c>
      <c r="B194" s="31" t="s">
        <v>427</v>
      </c>
      <c r="C194" s="37"/>
      <c r="D194" s="27"/>
      <c r="E194" s="49"/>
      <c r="H194" s="72" t="s">
        <v>428</v>
      </c>
      <c r="I194" s="66"/>
      <c r="J194" s="68"/>
      <c r="K194" s="68"/>
      <c r="L194" s="67"/>
      <c r="M194" s="68"/>
      <c r="N194" s="68"/>
      <c r="O194" s="68"/>
      <c r="P194" s="68"/>
      <c r="Q194" s="68"/>
    </row>
    <row r="195" spans="1:17" x14ac:dyDescent="0.35">
      <c r="A195" s="26" t="s">
        <v>429</v>
      </c>
      <c r="B195" s="31" t="s">
        <v>430</v>
      </c>
      <c r="C195" s="37"/>
      <c r="D195" s="27"/>
      <c r="E195" s="49"/>
      <c r="H195" s="66" t="s">
        <v>431</v>
      </c>
      <c r="I195" s="66" t="s">
        <v>432</v>
      </c>
      <c r="J195" s="69" t="s">
        <v>433</v>
      </c>
      <c r="K195" s="69" t="s">
        <v>434</v>
      </c>
      <c r="L195" s="67"/>
      <c r="M195" s="68"/>
      <c r="N195" s="68"/>
      <c r="O195" s="68"/>
      <c r="P195" s="68"/>
      <c r="Q195" s="68"/>
    </row>
    <row r="196" spans="1:17" x14ac:dyDescent="0.35">
      <c r="A196" s="26" t="s">
        <v>435</v>
      </c>
      <c r="B196" s="31" t="s">
        <v>436</v>
      </c>
      <c r="C196" s="37"/>
      <c r="D196" s="27"/>
      <c r="E196" s="49"/>
      <c r="H196" s="66" t="s">
        <v>437</v>
      </c>
      <c r="I196" s="66" t="s">
        <v>438</v>
      </c>
      <c r="J196" s="69"/>
      <c r="K196" s="69"/>
      <c r="L196" s="67"/>
      <c r="M196" s="68"/>
      <c r="N196" s="68"/>
      <c r="O196" s="68"/>
      <c r="P196" s="68"/>
      <c r="Q196" s="68"/>
    </row>
    <row r="197" spans="1:17" x14ac:dyDescent="0.35">
      <c r="A197" s="26" t="s">
        <v>439</v>
      </c>
      <c r="B197" s="31" t="s">
        <v>440</v>
      </c>
      <c r="C197" s="37"/>
      <c r="D197" s="27"/>
      <c r="E197" s="49"/>
      <c r="H197" s="67"/>
      <c r="I197" s="67"/>
      <c r="J197" s="67"/>
      <c r="K197" s="67"/>
      <c r="L197" s="67"/>
      <c r="M197" s="68"/>
      <c r="N197" s="68"/>
      <c r="O197" s="68"/>
      <c r="P197" s="68"/>
      <c r="Q197" s="68"/>
    </row>
    <row r="198" spans="1:17" x14ac:dyDescent="0.35">
      <c r="A198" s="26" t="s">
        <v>441</v>
      </c>
      <c r="B198" s="31" t="s">
        <v>442</v>
      </c>
      <c r="C198" s="37"/>
      <c r="D198" s="27"/>
      <c r="E198" s="49"/>
      <c r="H198" s="67"/>
      <c r="I198" s="67"/>
      <c r="J198" s="67"/>
      <c r="K198" s="67"/>
      <c r="L198" s="67"/>
      <c r="M198" s="68"/>
      <c r="N198" s="68"/>
      <c r="O198" s="68"/>
      <c r="P198" s="68"/>
      <c r="Q198" s="68"/>
    </row>
    <row r="199" spans="1:17" x14ac:dyDescent="0.35">
      <c r="A199" s="26" t="s">
        <v>443</v>
      </c>
      <c r="B199" s="31" t="s">
        <v>444</v>
      </c>
      <c r="C199" s="37"/>
      <c r="D199" s="27"/>
      <c r="E199" s="49"/>
      <c r="H199" s="67"/>
      <c r="I199" s="67"/>
      <c r="J199" s="67"/>
      <c r="K199" s="67"/>
      <c r="L199" s="67"/>
      <c r="M199" s="68"/>
      <c r="N199" s="68"/>
      <c r="O199" s="68"/>
      <c r="P199" s="68"/>
      <c r="Q199" s="68"/>
    </row>
    <row r="200" spans="1:17" x14ac:dyDescent="0.35">
      <c r="A200" s="26" t="s">
        <v>445</v>
      </c>
      <c r="B200" s="31" t="s">
        <v>446</v>
      </c>
      <c r="C200" s="37"/>
      <c r="D200" s="27"/>
      <c r="E200" s="49"/>
      <c r="H200" s="68"/>
      <c r="I200" s="68"/>
      <c r="J200" s="68"/>
      <c r="K200" s="68"/>
      <c r="L200" s="67"/>
      <c r="M200" s="68"/>
      <c r="N200" s="68"/>
      <c r="O200" s="68"/>
      <c r="P200" s="68"/>
      <c r="Q200" s="68"/>
    </row>
    <row r="201" spans="1:17" x14ac:dyDescent="0.35">
      <c r="A201" s="26" t="s">
        <v>447</v>
      </c>
      <c r="B201" s="31" t="s">
        <v>448</v>
      </c>
      <c r="C201" s="37"/>
      <c r="D201" s="27"/>
      <c r="E201" s="49"/>
      <c r="H201" s="68"/>
      <c r="I201" s="68"/>
      <c r="J201" s="68"/>
      <c r="K201" s="68"/>
      <c r="L201" s="67"/>
      <c r="M201" s="68"/>
      <c r="N201" s="68"/>
      <c r="O201" s="68"/>
      <c r="P201" s="68"/>
      <c r="Q201" s="68"/>
    </row>
    <row r="202" spans="1:17" x14ac:dyDescent="0.35">
      <c r="A202" s="26" t="s">
        <v>449</v>
      </c>
      <c r="B202" s="31" t="s">
        <v>450</v>
      </c>
      <c r="C202" s="37"/>
      <c r="D202" s="27"/>
      <c r="E202" s="49"/>
      <c r="H202" s="67" t="s">
        <v>451</v>
      </c>
      <c r="I202" s="67"/>
      <c r="J202" s="68"/>
      <c r="K202" s="68"/>
      <c r="L202" s="67"/>
      <c r="M202" s="68"/>
      <c r="N202" s="68"/>
      <c r="O202" s="68"/>
      <c r="P202" s="68"/>
      <c r="Q202" s="68"/>
    </row>
    <row r="203" spans="1:17" x14ac:dyDescent="0.35">
      <c r="A203" s="26" t="s">
        <v>452</v>
      </c>
      <c r="B203" s="31" t="s">
        <v>453</v>
      </c>
      <c r="C203" s="37"/>
      <c r="D203" s="27"/>
      <c r="E203" s="49"/>
      <c r="H203" s="67" t="s">
        <v>454</v>
      </c>
      <c r="I203" s="67"/>
      <c r="J203" s="68"/>
      <c r="K203" s="68"/>
      <c r="L203" s="67"/>
      <c r="M203" s="68"/>
      <c r="N203" s="68"/>
      <c r="O203" s="68"/>
      <c r="P203" s="68"/>
      <c r="Q203" s="68"/>
    </row>
    <row r="204" spans="1:17" x14ac:dyDescent="0.35">
      <c r="A204" s="32" t="s">
        <v>455</v>
      </c>
      <c r="B204" s="31" t="s">
        <v>456</v>
      </c>
      <c r="C204" s="37"/>
      <c r="D204" s="27"/>
      <c r="E204" s="49"/>
      <c r="H204" s="67" t="s">
        <v>457</v>
      </c>
      <c r="I204" s="67"/>
      <c r="J204" s="68"/>
      <c r="K204" s="68"/>
      <c r="L204" s="67"/>
      <c r="M204" s="68"/>
      <c r="N204" s="68"/>
      <c r="O204" s="68"/>
      <c r="P204" s="68"/>
      <c r="Q204" s="68"/>
    </row>
    <row r="205" spans="1:17" x14ac:dyDescent="0.35">
      <c r="A205" s="32" t="s">
        <v>458</v>
      </c>
      <c r="B205" s="31" t="s">
        <v>459</v>
      </c>
      <c r="C205" s="37"/>
      <c r="D205" s="27"/>
      <c r="E205" s="49"/>
      <c r="H205" s="67" t="s">
        <v>457</v>
      </c>
      <c r="I205" s="67"/>
      <c r="J205" s="68"/>
      <c r="K205" s="68"/>
      <c r="L205" s="67"/>
      <c r="M205" s="68"/>
      <c r="N205" s="68"/>
      <c r="O205" s="68"/>
      <c r="P205" s="68"/>
      <c r="Q205" s="68"/>
    </row>
    <row r="206" spans="1:17" x14ac:dyDescent="0.35">
      <c r="A206" s="42" t="s">
        <v>123</v>
      </c>
      <c r="B206" s="31" t="s">
        <v>124</v>
      </c>
      <c r="C206" s="37"/>
      <c r="D206" s="27"/>
      <c r="E206" s="49"/>
      <c r="H206" s="67"/>
      <c r="I206" s="67"/>
      <c r="J206" s="68"/>
      <c r="K206" s="68"/>
      <c r="L206" s="67"/>
      <c r="M206" s="68"/>
      <c r="N206" s="68"/>
      <c r="O206" s="68"/>
      <c r="P206" s="68"/>
      <c r="Q206" s="68"/>
    </row>
    <row r="207" spans="1:17" x14ac:dyDescent="0.35">
      <c r="A207" s="26" t="s">
        <v>121</v>
      </c>
      <c r="B207" s="31" t="s">
        <v>122</v>
      </c>
      <c r="C207" s="37"/>
      <c r="D207" s="27"/>
      <c r="E207" s="49"/>
      <c r="H207" s="67"/>
      <c r="I207" s="67"/>
      <c r="J207" s="68"/>
      <c r="K207" s="68"/>
      <c r="L207" s="67"/>
      <c r="M207" s="68"/>
      <c r="N207" s="68"/>
      <c r="O207" s="68"/>
      <c r="P207" s="68"/>
      <c r="Q207" s="68"/>
    </row>
    <row r="208" spans="1:17" x14ac:dyDescent="0.35">
      <c r="A208" s="26" t="s">
        <v>460</v>
      </c>
      <c r="B208" s="27" t="s">
        <v>415</v>
      </c>
      <c r="C208" s="37"/>
      <c r="D208" s="27"/>
      <c r="E208" s="49"/>
      <c r="H208" s="67" t="s">
        <v>32</v>
      </c>
      <c r="I208" s="67" t="s">
        <v>384</v>
      </c>
      <c r="J208" s="68"/>
      <c r="K208" s="68"/>
      <c r="L208" s="67"/>
      <c r="M208" s="68"/>
      <c r="N208" s="68"/>
      <c r="O208" s="68"/>
      <c r="P208" s="68"/>
      <c r="Q208" s="68"/>
    </row>
    <row r="209" spans="1:17" x14ac:dyDescent="0.35">
      <c r="A209" s="26" t="s">
        <v>461</v>
      </c>
      <c r="B209" s="27" t="s">
        <v>415</v>
      </c>
      <c r="C209" s="37"/>
      <c r="D209" s="27"/>
      <c r="E209" s="49"/>
      <c r="H209" s="67"/>
      <c r="I209" s="67"/>
      <c r="J209" s="68"/>
      <c r="K209" s="68"/>
      <c r="L209" s="67"/>
      <c r="M209" s="68"/>
      <c r="N209" s="68"/>
      <c r="O209" s="68"/>
      <c r="P209" s="68"/>
      <c r="Q209" s="68"/>
    </row>
    <row r="210" spans="1:17" x14ac:dyDescent="0.35">
      <c r="A210" s="62" t="s">
        <v>462</v>
      </c>
      <c r="B210" s="29" t="s">
        <v>415</v>
      </c>
      <c r="C210" s="50"/>
      <c r="D210" s="29"/>
      <c r="E210" s="51"/>
      <c r="H210" s="67" t="s">
        <v>32</v>
      </c>
      <c r="I210" s="67" t="s">
        <v>384</v>
      </c>
      <c r="J210" s="68"/>
      <c r="K210" s="68"/>
      <c r="L210" s="67"/>
      <c r="M210" s="68"/>
      <c r="N210" s="68"/>
      <c r="O210" s="68"/>
      <c r="P210" s="68"/>
      <c r="Q210" s="68"/>
    </row>
    <row r="211" spans="1:17" x14ac:dyDescent="0.35">
      <c r="A211"/>
      <c r="C211" s="77"/>
      <c r="H211" s="68"/>
      <c r="I211" s="68"/>
      <c r="J211" s="68"/>
      <c r="K211" s="68"/>
      <c r="L211" s="67"/>
      <c r="M211" s="68"/>
      <c r="N211" s="68"/>
      <c r="O211" s="68"/>
      <c r="P211" s="68"/>
      <c r="Q211" s="68"/>
    </row>
    <row r="212" spans="1:17" ht="15" thickBot="1" x14ac:dyDescent="0.4">
      <c r="A212" s="44" t="s">
        <v>463</v>
      </c>
      <c r="B212" s="48" t="s">
        <v>4</v>
      </c>
      <c r="C212" s="45" t="s">
        <v>5</v>
      </c>
      <c r="D212" s="46" t="s">
        <v>6</v>
      </c>
      <c r="E212" s="47" t="s">
        <v>7</v>
      </c>
      <c r="H212" s="68"/>
      <c r="I212" s="68"/>
      <c r="J212" s="68"/>
      <c r="K212" s="68"/>
      <c r="L212" s="67"/>
      <c r="M212" s="68"/>
      <c r="N212" s="68"/>
      <c r="O212" s="68"/>
      <c r="P212" s="68"/>
      <c r="Q212" s="68"/>
    </row>
    <row r="213" spans="1:17" ht="15" thickTop="1" x14ac:dyDescent="0.35">
      <c r="A213" s="26" t="s">
        <v>423</v>
      </c>
      <c r="B213" s="31" t="s">
        <v>82</v>
      </c>
      <c r="C213" s="37"/>
      <c r="D213" s="6"/>
      <c r="E213" s="30"/>
      <c r="H213" s="68"/>
      <c r="I213" s="68"/>
      <c r="J213" s="68"/>
      <c r="K213" s="68"/>
      <c r="L213" s="67"/>
      <c r="M213" s="68"/>
      <c r="N213" s="68"/>
      <c r="O213" s="68"/>
      <c r="P213" s="68"/>
      <c r="Q213" s="68"/>
    </row>
    <row r="214" spans="1:17" x14ac:dyDescent="0.35">
      <c r="A214" s="26" t="s">
        <v>424</v>
      </c>
      <c r="B214" s="31" t="s">
        <v>425</v>
      </c>
      <c r="C214" s="37"/>
      <c r="D214" s="27"/>
      <c r="E214" s="30"/>
      <c r="H214" s="66" t="s">
        <v>203</v>
      </c>
      <c r="I214" s="66" t="s">
        <v>426</v>
      </c>
      <c r="J214" s="68"/>
      <c r="K214" s="68"/>
      <c r="L214" s="67"/>
      <c r="M214" s="68"/>
      <c r="N214" s="68"/>
      <c r="O214" s="68"/>
      <c r="P214" s="68"/>
      <c r="Q214" s="68"/>
    </row>
    <row r="215" spans="1:17" x14ac:dyDescent="0.35">
      <c r="A215" s="26" t="s">
        <v>186</v>
      </c>
      <c r="B215" s="31" t="s">
        <v>427</v>
      </c>
      <c r="C215" s="37"/>
      <c r="D215" s="27"/>
      <c r="E215" s="30"/>
      <c r="H215" s="72" t="s">
        <v>428</v>
      </c>
      <c r="I215" s="66"/>
      <c r="J215" s="68"/>
      <c r="K215" s="68"/>
      <c r="L215" s="67"/>
      <c r="M215" s="68"/>
      <c r="N215" s="68"/>
      <c r="O215" s="68"/>
      <c r="P215" s="68"/>
      <c r="Q215" s="68"/>
    </row>
    <row r="216" spans="1:17" x14ac:dyDescent="0.35">
      <c r="A216" s="26" t="s">
        <v>429</v>
      </c>
      <c r="B216" s="31" t="s">
        <v>430</v>
      </c>
      <c r="C216" s="37"/>
      <c r="D216" s="27"/>
      <c r="E216" s="30"/>
      <c r="H216" s="66" t="s">
        <v>431</v>
      </c>
      <c r="I216" s="66" t="s">
        <v>432</v>
      </c>
      <c r="J216" s="69" t="s">
        <v>433</v>
      </c>
      <c r="K216" s="69" t="s">
        <v>434</v>
      </c>
      <c r="L216" s="67"/>
      <c r="M216" s="68"/>
      <c r="N216" s="68"/>
      <c r="O216" s="68"/>
      <c r="P216" s="68"/>
      <c r="Q216" s="68"/>
    </row>
    <row r="217" spans="1:17" x14ac:dyDescent="0.35">
      <c r="A217" s="26" t="s">
        <v>435</v>
      </c>
      <c r="B217" s="31" t="s">
        <v>436</v>
      </c>
      <c r="C217" s="37"/>
      <c r="D217" s="27"/>
      <c r="E217" s="30"/>
      <c r="H217" s="66" t="s">
        <v>437</v>
      </c>
      <c r="I217" s="66" t="s">
        <v>438</v>
      </c>
      <c r="J217" s="69"/>
      <c r="K217" s="69"/>
      <c r="L217" s="67"/>
      <c r="M217" s="68"/>
      <c r="N217" s="68"/>
      <c r="O217" s="68"/>
      <c r="P217" s="68"/>
      <c r="Q217" s="68"/>
    </row>
    <row r="218" spans="1:17" x14ac:dyDescent="0.35">
      <c r="A218" s="26" t="s">
        <v>439</v>
      </c>
      <c r="B218" s="31" t="s">
        <v>440</v>
      </c>
      <c r="C218" s="37"/>
      <c r="D218" s="27"/>
      <c r="E218" s="30"/>
      <c r="H218" s="67"/>
      <c r="I218" s="67"/>
      <c r="J218" s="67"/>
      <c r="K218" s="67"/>
      <c r="L218" s="67"/>
      <c r="M218" s="68"/>
      <c r="N218" s="68"/>
      <c r="O218" s="68"/>
      <c r="P218" s="68"/>
      <c r="Q218" s="68"/>
    </row>
    <row r="219" spans="1:17" x14ac:dyDescent="0.35">
      <c r="A219" s="26" t="s">
        <v>441</v>
      </c>
      <c r="B219" s="31" t="s">
        <v>442</v>
      </c>
      <c r="C219" s="37"/>
      <c r="D219" s="27"/>
      <c r="E219" s="30"/>
      <c r="H219" s="67"/>
      <c r="I219" s="67"/>
      <c r="J219" s="67"/>
      <c r="K219" s="67"/>
      <c r="L219" s="67"/>
      <c r="M219" s="68"/>
      <c r="N219" s="68"/>
      <c r="O219" s="68"/>
      <c r="P219" s="68"/>
      <c r="Q219" s="68"/>
    </row>
    <row r="220" spans="1:17" x14ac:dyDescent="0.35">
      <c r="A220" s="26" t="s">
        <v>443</v>
      </c>
      <c r="B220" s="31" t="s">
        <v>444</v>
      </c>
      <c r="C220" s="37"/>
      <c r="D220" s="27"/>
      <c r="E220" s="30"/>
      <c r="H220" s="67"/>
      <c r="I220" s="67"/>
      <c r="J220" s="67"/>
      <c r="K220" s="67"/>
      <c r="L220" s="67"/>
      <c r="M220" s="68"/>
      <c r="N220" s="68"/>
      <c r="O220" s="68"/>
      <c r="P220" s="68"/>
      <c r="Q220" s="68"/>
    </row>
    <row r="221" spans="1:17" x14ac:dyDescent="0.35">
      <c r="A221" s="26" t="s">
        <v>445</v>
      </c>
      <c r="B221" s="31" t="s">
        <v>446</v>
      </c>
      <c r="C221" s="37"/>
      <c r="D221" s="27"/>
      <c r="E221" s="30"/>
      <c r="H221" s="68"/>
      <c r="I221" s="68"/>
      <c r="J221" s="68"/>
      <c r="K221" s="68"/>
      <c r="L221" s="67"/>
      <c r="M221" s="68"/>
      <c r="N221" s="68"/>
      <c r="O221" s="68"/>
      <c r="P221" s="68"/>
      <c r="Q221" s="68"/>
    </row>
    <row r="222" spans="1:17" x14ac:dyDescent="0.35">
      <c r="A222" s="26" t="s">
        <v>447</v>
      </c>
      <c r="B222" s="31" t="s">
        <v>448</v>
      </c>
      <c r="C222" s="37"/>
      <c r="D222" s="27"/>
      <c r="E222" s="30"/>
      <c r="H222" s="68"/>
      <c r="I222" s="68"/>
      <c r="J222" s="68"/>
      <c r="K222" s="68"/>
      <c r="L222" s="67"/>
      <c r="M222" s="68"/>
      <c r="N222" s="68"/>
      <c r="O222" s="68"/>
      <c r="P222" s="68"/>
      <c r="Q222" s="68"/>
    </row>
    <row r="223" spans="1:17" x14ac:dyDescent="0.35">
      <c r="A223" s="26" t="s">
        <v>449</v>
      </c>
      <c r="B223" s="31" t="s">
        <v>450</v>
      </c>
      <c r="C223" s="37"/>
      <c r="D223" s="27"/>
      <c r="E223" s="30"/>
      <c r="H223" s="67" t="s">
        <v>451</v>
      </c>
      <c r="I223" s="67"/>
      <c r="J223" s="68"/>
      <c r="K223" s="68"/>
      <c r="L223" s="67"/>
      <c r="M223" s="68"/>
      <c r="N223" s="68"/>
      <c r="O223" s="68"/>
      <c r="P223" s="68"/>
      <c r="Q223" s="68"/>
    </row>
    <row r="224" spans="1:17" x14ac:dyDescent="0.35">
      <c r="A224" s="26" t="s">
        <v>452</v>
      </c>
      <c r="B224" s="31" t="s">
        <v>453</v>
      </c>
      <c r="C224" s="37"/>
      <c r="D224" s="27"/>
      <c r="E224" s="30"/>
      <c r="H224" s="67" t="s">
        <v>454</v>
      </c>
      <c r="I224" s="67"/>
      <c r="J224" s="68"/>
      <c r="K224" s="68"/>
      <c r="L224" s="67"/>
      <c r="M224" s="68"/>
      <c r="N224" s="68"/>
      <c r="O224" s="68"/>
      <c r="P224" s="68"/>
      <c r="Q224" s="68"/>
    </row>
    <row r="225" spans="1:17" x14ac:dyDescent="0.35">
      <c r="A225" s="32" t="s">
        <v>455</v>
      </c>
      <c r="B225" s="31" t="s">
        <v>456</v>
      </c>
      <c r="C225" s="37"/>
      <c r="D225" s="27"/>
      <c r="E225" s="30"/>
      <c r="H225" s="67" t="s">
        <v>457</v>
      </c>
      <c r="I225" s="67"/>
      <c r="J225" s="68"/>
      <c r="K225" s="68"/>
      <c r="L225" s="67"/>
      <c r="M225" s="68"/>
      <c r="N225" s="68"/>
      <c r="O225" s="68"/>
      <c r="P225" s="68"/>
      <c r="Q225" s="68"/>
    </row>
    <row r="226" spans="1:17" x14ac:dyDescent="0.35">
      <c r="A226" s="32" t="s">
        <v>458</v>
      </c>
      <c r="B226" s="31" t="s">
        <v>459</v>
      </c>
      <c r="C226" s="37"/>
      <c r="D226" s="27"/>
      <c r="E226" s="30"/>
      <c r="H226" s="67" t="s">
        <v>457</v>
      </c>
      <c r="I226" s="67"/>
      <c r="J226" s="68"/>
      <c r="K226" s="68"/>
      <c r="L226" s="67"/>
      <c r="M226" s="68"/>
      <c r="N226" s="68"/>
      <c r="O226" s="68"/>
      <c r="P226" s="68"/>
      <c r="Q226" s="68"/>
    </row>
    <row r="227" spans="1:17" x14ac:dyDescent="0.35">
      <c r="A227" s="42" t="s">
        <v>123</v>
      </c>
      <c r="B227" s="31" t="s">
        <v>124</v>
      </c>
      <c r="C227" s="37"/>
      <c r="D227" s="27"/>
      <c r="E227" s="30"/>
      <c r="H227" s="67"/>
      <c r="I227" s="67"/>
      <c r="J227" s="68"/>
      <c r="K227" s="68"/>
      <c r="L227" s="67"/>
      <c r="M227" s="68"/>
      <c r="N227" s="68"/>
      <c r="O227" s="68"/>
      <c r="P227" s="68"/>
      <c r="Q227" s="68"/>
    </row>
    <row r="228" spans="1:17" x14ac:dyDescent="0.35">
      <c r="A228" s="26" t="s">
        <v>121</v>
      </c>
      <c r="B228" s="31" t="s">
        <v>122</v>
      </c>
      <c r="C228" s="37"/>
      <c r="D228" s="27"/>
      <c r="E228" s="30"/>
      <c r="H228" s="67"/>
      <c r="I228" s="67"/>
      <c r="J228" s="68"/>
      <c r="K228" s="68"/>
      <c r="L228" s="67"/>
      <c r="M228" s="68"/>
      <c r="N228" s="68"/>
      <c r="O228" s="68"/>
      <c r="P228" s="68"/>
      <c r="Q228" s="68"/>
    </row>
    <row r="229" spans="1:17" x14ac:dyDescent="0.35">
      <c r="A229" s="26" t="s">
        <v>460</v>
      </c>
      <c r="B229" s="27" t="s">
        <v>415</v>
      </c>
      <c r="C229" s="37"/>
      <c r="D229" s="27"/>
      <c r="E229" s="30"/>
      <c r="H229" s="67" t="s">
        <v>32</v>
      </c>
      <c r="I229" s="67" t="s">
        <v>384</v>
      </c>
      <c r="J229" s="68"/>
      <c r="K229" s="68"/>
      <c r="L229" s="67"/>
      <c r="M229" s="68"/>
      <c r="N229" s="68"/>
      <c r="O229" s="68"/>
      <c r="P229" s="68"/>
      <c r="Q229" s="68"/>
    </row>
    <row r="230" spans="1:17" x14ac:dyDescent="0.35">
      <c r="A230" s="26" t="s">
        <v>461</v>
      </c>
      <c r="B230" s="27" t="s">
        <v>415</v>
      </c>
      <c r="C230" s="37"/>
      <c r="D230" s="27"/>
      <c r="E230" s="30"/>
      <c r="H230" s="67"/>
      <c r="I230" s="67"/>
      <c r="J230" s="68"/>
      <c r="K230" s="68"/>
      <c r="L230" s="67"/>
      <c r="M230" s="68"/>
      <c r="N230" s="68"/>
      <c r="O230" s="68"/>
      <c r="P230" s="68"/>
      <c r="Q230" s="68"/>
    </row>
    <row r="231" spans="1:17" x14ac:dyDescent="0.35">
      <c r="A231" s="26" t="s">
        <v>462</v>
      </c>
      <c r="B231" s="27" t="s">
        <v>415</v>
      </c>
      <c r="C231" s="37"/>
      <c r="D231" s="27"/>
      <c r="E231" s="30"/>
      <c r="H231" s="67" t="s">
        <v>32</v>
      </c>
      <c r="I231" s="67" t="s">
        <v>384</v>
      </c>
      <c r="J231" s="68"/>
      <c r="K231" s="68"/>
      <c r="L231" s="67"/>
      <c r="M231" s="68"/>
      <c r="N231" s="68"/>
      <c r="O231" s="68"/>
      <c r="P231" s="68"/>
      <c r="Q231" s="68"/>
    </row>
    <row r="232" spans="1:17" x14ac:dyDescent="0.35">
      <c r="A232" s="2"/>
      <c r="B232" s="1"/>
      <c r="C232" s="8"/>
      <c r="D232" s="1"/>
      <c r="H232" s="67"/>
      <c r="I232" s="67"/>
      <c r="J232" s="68"/>
      <c r="K232" s="68"/>
      <c r="L232" s="67"/>
      <c r="M232" s="68"/>
      <c r="N232" s="68"/>
      <c r="O232" s="68"/>
      <c r="P232" s="68"/>
      <c r="Q232" s="68"/>
    </row>
    <row r="233" spans="1:17" ht="15" thickBot="1" x14ac:dyDescent="0.4">
      <c r="A233" s="10" t="s">
        <v>403</v>
      </c>
      <c r="B233" s="11" t="s">
        <v>4</v>
      </c>
      <c r="C233" s="12" t="s">
        <v>5</v>
      </c>
      <c r="D233" s="11" t="s">
        <v>6</v>
      </c>
      <c r="E233" s="14" t="s">
        <v>7</v>
      </c>
      <c r="H233" s="67"/>
      <c r="I233" s="67"/>
      <c r="J233" s="68"/>
      <c r="K233" s="68"/>
      <c r="L233" s="67"/>
      <c r="M233" s="68"/>
      <c r="N233" s="68"/>
      <c r="O233" s="68"/>
      <c r="P233" s="68"/>
      <c r="Q233" s="68"/>
    </row>
    <row r="234" spans="1:17" ht="15" thickTop="1" x14ac:dyDescent="0.35">
      <c r="A234" s="2" t="s">
        <v>81</v>
      </c>
      <c r="B234" s="53" t="s">
        <v>82</v>
      </c>
      <c r="C234" s="8"/>
      <c r="D234" s="6"/>
      <c r="E234" s="1"/>
      <c r="H234" s="67"/>
      <c r="I234" s="67"/>
      <c r="J234" s="68"/>
      <c r="K234" s="68"/>
      <c r="L234" s="67"/>
      <c r="M234" s="68"/>
      <c r="N234" s="68"/>
      <c r="O234" s="68"/>
      <c r="P234" s="68"/>
      <c r="Q234" s="68"/>
    </row>
    <row r="235" spans="1:17" x14ac:dyDescent="0.35">
      <c r="A235" s="20" t="s">
        <v>129</v>
      </c>
      <c r="B235" s="53" t="s">
        <v>464</v>
      </c>
      <c r="C235" s="8"/>
      <c r="D235" s="1"/>
      <c r="E235" s="1"/>
      <c r="H235" s="66" t="s">
        <v>465</v>
      </c>
      <c r="I235" s="66" t="s">
        <v>131</v>
      </c>
      <c r="J235" s="69" t="s">
        <v>285</v>
      </c>
      <c r="K235" s="68"/>
      <c r="L235" s="67"/>
      <c r="M235" s="68"/>
      <c r="N235" s="68"/>
      <c r="O235" s="68"/>
      <c r="P235" s="68"/>
      <c r="Q235" s="68"/>
    </row>
    <row r="236" spans="1:17" x14ac:dyDescent="0.35">
      <c r="A236" s="20" t="s">
        <v>466</v>
      </c>
      <c r="B236" s="53" t="s">
        <v>467</v>
      </c>
      <c r="C236" s="8"/>
      <c r="D236" s="1"/>
      <c r="E236" s="1"/>
      <c r="H236" s="66" t="b">
        <v>1</v>
      </c>
      <c r="I236" s="66" t="b">
        <v>0</v>
      </c>
      <c r="J236" s="68"/>
      <c r="K236" s="68"/>
      <c r="L236" s="67"/>
      <c r="M236" s="68"/>
      <c r="N236" s="68"/>
      <c r="O236" s="68"/>
      <c r="P236" s="68"/>
      <c r="Q236" s="68"/>
    </row>
    <row r="237" spans="1:17" x14ac:dyDescent="0.35">
      <c r="A237" s="20" t="s">
        <v>468</v>
      </c>
      <c r="B237" s="53" t="s">
        <v>469</v>
      </c>
      <c r="C237" s="8"/>
      <c r="D237" s="1"/>
      <c r="E237" s="1"/>
      <c r="H237" s="66" t="b">
        <v>1</v>
      </c>
      <c r="I237" s="66" t="b">
        <v>0</v>
      </c>
      <c r="J237" s="68"/>
      <c r="K237" s="68"/>
      <c r="L237" s="67"/>
      <c r="M237" s="68"/>
      <c r="N237" s="68"/>
      <c r="O237" s="68"/>
      <c r="P237" s="68"/>
      <c r="Q237" s="68"/>
    </row>
    <row r="238" spans="1:17" x14ac:dyDescent="0.35">
      <c r="A238" s="20" t="s">
        <v>470</v>
      </c>
      <c r="B238" s="53" t="s">
        <v>471</v>
      </c>
      <c r="C238" s="8"/>
      <c r="D238" s="1"/>
      <c r="E238" s="1"/>
      <c r="H238" s="66" t="b">
        <v>1</v>
      </c>
      <c r="I238" s="66" t="b">
        <v>0</v>
      </c>
      <c r="J238" s="68"/>
      <c r="K238" s="68"/>
      <c r="L238" s="67"/>
      <c r="M238" s="68"/>
      <c r="N238" s="68"/>
      <c r="O238" s="68"/>
      <c r="P238" s="68"/>
      <c r="Q238" s="68"/>
    </row>
    <row r="239" spans="1:17" x14ac:dyDescent="0.35">
      <c r="A239" s="20" t="s">
        <v>472</v>
      </c>
      <c r="B239" s="53" t="s">
        <v>473</v>
      </c>
      <c r="C239" s="8"/>
      <c r="D239" s="1"/>
      <c r="E239" s="1"/>
      <c r="H239" s="66" t="b">
        <v>1</v>
      </c>
      <c r="I239" s="66" t="b">
        <v>0</v>
      </c>
      <c r="J239" s="68"/>
      <c r="K239" s="68"/>
      <c r="L239" s="67"/>
      <c r="M239" s="68"/>
      <c r="N239" s="68"/>
      <c r="O239" s="68"/>
      <c r="P239" s="68"/>
      <c r="Q239" s="68"/>
    </row>
    <row r="240" spans="1:17" x14ac:dyDescent="0.35">
      <c r="A240" s="2" t="s">
        <v>106</v>
      </c>
      <c r="B240" s="53" t="s">
        <v>474</v>
      </c>
      <c r="C240" s="8"/>
      <c r="D240" s="1"/>
      <c r="E240" s="1"/>
      <c r="H240" s="67"/>
      <c r="I240" s="67"/>
      <c r="J240" s="68"/>
      <c r="K240" s="68"/>
      <c r="L240" s="67"/>
      <c r="M240" s="68"/>
      <c r="N240" s="68"/>
      <c r="O240" s="68"/>
      <c r="P240" s="68"/>
      <c r="Q240" s="68"/>
    </row>
    <row r="241" spans="1:17" x14ac:dyDescent="0.35">
      <c r="A241" s="2" t="s">
        <v>475</v>
      </c>
      <c r="B241" s="53" t="s">
        <v>476</v>
      </c>
      <c r="C241" s="23" t="s">
        <v>477</v>
      </c>
      <c r="D241" s="1"/>
      <c r="E241" s="1"/>
      <c r="H241" s="67"/>
      <c r="I241" s="67"/>
      <c r="J241" s="68"/>
      <c r="K241" s="68"/>
      <c r="L241" s="67"/>
      <c r="M241" s="68"/>
      <c r="N241" s="68"/>
      <c r="O241" s="68"/>
      <c r="P241" s="68"/>
      <c r="Q241" s="68"/>
    </row>
    <row r="242" spans="1:17" x14ac:dyDescent="0.35">
      <c r="A242" s="2"/>
      <c r="B242" s="1"/>
      <c r="C242" s="8"/>
      <c r="D242" s="1"/>
      <c r="H242" s="67"/>
      <c r="I242" s="67"/>
      <c r="J242" s="68"/>
      <c r="K242" s="68"/>
      <c r="L242" s="67"/>
      <c r="M242" s="68"/>
      <c r="N242" s="68"/>
      <c r="O242" s="68"/>
      <c r="P242" s="68"/>
      <c r="Q242" s="68"/>
    </row>
    <row r="243" spans="1:17" ht="15" thickBot="1" x14ac:dyDescent="0.4">
      <c r="A243" s="10" t="s">
        <v>478</v>
      </c>
      <c r="B243" s="58" t="s">
        <v>4</v>
      </c>
      <c r="C243" s="12" t="s">
        <v>5</v>
      </c>
      <c r="D243" s="11" t="s">
        <v>6</v>
      </c>
      <c r="E243" s="14" t="s">
        <v>7</v>
      </c>
      <c r="H243" s="67"/>
      <c r="I243" s="67"/>
      <c r="J243" s="67"/>
      <c r="K243" s="68"/>
      <c r="L243" s="67"/>
      <c r="M243" s="68"/>
      <c r="N243" s="68"/>
      <c r="O243" s="68"/>
      <c r="P243" s="68"/>
      <c r="Q243" s="68"/>
    </row>
    <row r="244" spans="1:17" ht="15" thickTop="1" x14ac:dyDescent="0.35">
      <c r="A244" s="2" t="s">
        <v>81</v>
      </c>
      <c r="B244" s="53" t="s">
        <v>82</v>
      </c>
      <c r="C244" s="8"/>
      <c r="D244" s="6"/>
      <c r="E244" s="1"/>
      <c r="H244" s="67"/>
      <c r="I244" s="67"/>
      <c r="J244" s="67"/>
      <c r="K244" s="68"/>
      <c r="L244" s="67"/>
      <c r="M244" s="68"/>
      <c r="N244" s="68"/>
      <c r="O244" s="68"/>
      <c r="P244" s="68"/>
      <c r="Q244" s="68"/>
    </row>
    <row r="245" spans="1:17" x14ac:dyDescent="0.35">
      <c r="A245" s="2" t="s">
        <v>64</v>
      </c>
      <c r="B245" s="53" t="s">
        <v>69</v>
      </c>
      <c r="C245" s="8"/>
      <c r="D245" s="1"/>
      <c r="E245" s="1"/>
      <c r="H245" s="67"/>
      <c r="I245" s="67"/>
      <c r="J245" s="67"/>
      <c r="K245" s="68"/>
      <c r="L245" s="67"/>
      <c r="M245" s="68"/>
      <c r="N245" s="68"/>
      <c r="O245" s="68"/>
      <c r="P245" s="68"/>
      <c r="Q245" s="68"/>
    </row>
    <row r="246" spans="1:17" x14ac:dyDescent="0.35">
      <c r="A246" s="2" t="s">
        <v>121</v>
      </c>
      <c r="B246" s="53" t="s">
        <v>122</v>
      </c>
      <c r="C246" s="21" t="s">
        <v>479</v>
      </c>
      <c r="D246" s="1"/>
      <c r="E246" s="1"/>
      <c r="H246" s="67"/>
      <c r="I246" s="67"/>
      <c r="J246" s="67"/>
      <c r="K246" s="68"/>
      <c r="L246" s="67"/>
      <c r="M246" s="68"/>
      <c r="N246" s="68"/>
      <c r="O246" s="68"/>
      <c r="P246" s="68"/>
      <c r="Q246" s="68"/>
    </row>
    <row r="247" spans="1:17" x14ac:dyDescent="0.35">
      <c r="A247" s="2" t="s">
        <v>480</v>
      </c>
      <c r="B247" s="53" t="s">
        <v>130</v>
      </c>
      <c r="C247" s="8"/>
      <c r="D247" s="1"/>
      <c r="E247" s="1"/>
      <c r="H247" s="66" t="s">
        <v>481</v>
      </c>
      <c r="I247" s="53" t="s">
        <v>482</v>
      </c>
      <c r="J247" s="66" t="s">
        <v>483</v>
      </c>
      <c r="K247" s="69" t="s">
        <v>484</v>
      </c>
      <c r="L247" s="66" t="s">
        <v>485</v>
      </c>
      <c r="M247" s="69" t="s">
        <v>486</v>
      </c>
      <c r="N247" s="69" t="s">
        <v>487</v>
      </c>
      <c r="O247" s="68"/>
      <c r="P247" s="68"/>
      <c r="Q247" s="68"/>
    </row>
    <row r="248" spans="1:17" ht="13.5" customHeight="1" x14ac:dyDescent="0.35">
      <c r="A248" s="2" t="s">
        <v>488</v>
      </c>
      <c r="B248" s="53" t="s">
        <v>316</v>
      </c>
      <c r="C248" s="8"/>
      <c r="D248" s="1"/>
      <c r="E248" s="1"/>
      <c r="H248" s="66" t="s">
        <v>484</v>
      </c>
      <c r="I248" s="66" t="s">
        <v>487</v>
      </c>
      <c r="J248" s="67"/>
      <c r="K248" s="68"/>
      <c r="L248" s="67"/>
      <c r="M248" s="68"/>
      <c r="N248" s="68"/>
      <c r="O248" s="68"/>
      <c r="P248" s="68"/>
      <c r="Q248" s="68"/>
    </row>
    <row r="249" spans="1:17" x14ac:dyDescent="0.35">
      <c r="A249" s="2" t="s">
        <v>489</v>
      </c>
      <c r="B249" s="53" t="s">
        <v>490</v>
      </c>
      <c r="C249" s="8"/>
      <c r="D249" s="1"/>
      <c r="E249" s="1"/>
      <c r="H249" s="67">
        <v>0</v>
      </c>
      <c r="I249" s="67" t="s">
        <v>491</v>
      </c>
      <c r="J249" s="67" t="s">
        <v>492</v>
      </c>
      <c r="K249" s="68"/>
      <c r="L249" s="67"/>
      <c r="M249" s="68"/>
      <c r="N249" s="68"/>
      <c r="O249" s="68"/>
      <c r="P249" s="68"/>
      <c r="Q249" s="68"/>
    </row>
    <row r="250" spans="1:17" x14ac:dyDescent="0.35">
      <c r="A250" s="2" t="s">
        <v>493</v>
      </c>
      <c r="B250" s="53" t="s">
        <v>494</v>
      </c>
      <c r="C250" s="8"/>
      <c r="D250" s="1"/>
      <c r="E250" s="1"/>
      <c r="H250" s="67" t="s">
        <v>495</v>
      </c>
      <c r="I250" s="67"/>
      <c r="J250" s="67"/>
      <c r="K250" s="68"/>
      <c r="L250" s="67"/>
      <c r="M250" s="68"/>
      <c r="N250" s="68"/>
      <c r="O250" s="68"/>
      <c r="P250" s="68"/>
      <c r="Q250" s="68"/>
    </row>
    <row r="251" spans="1:17" x14ac:dyDescent="0.35">
      <c r="A251" s="2" t="s">
        <v>496</v>
      </c>
      <c r="B251" s="53" t="s">
        <v>497</v>
      </c>
      <c r="C251" s="8"/>
      <c r="D251" s="1"/>
      <c r="E251" s="1"/>
      <c r="H251" s="67" t="s">
        <v>498</v>
      </c>
      <c r="I251" s="67"/>
      <c r="J251" s="67"/>
      <c r="K251" s="68"/>
      <c r="L251" s="67"/>
      <c r="M251" s="68"/>
      <c r="N251" s="68"/>
      <c r="O251" s="68"/>
      <c r="P251" s="68"/>
      <c r="Q251" s="68"/>
    </row>
    <row r="252" spans="1:17" x14ac:dyDescent="0.35">
      <c r="A252" s="2" t="s">
        <v>499</v>
      </c>
      <c r="B252" s="53" t="s">
        <v>427</v>
      </c>
      <c r="C252" s="8"/>
      <c r="D252" s="1"/>
      <c r="E252" s="1"/>
      <c r="H252" s="67"/>
      <c r="I252" s="67"/>
      <c r="J252" s="67"/>
      <c r="K252" s="68"/>
      <c r="L252" s="67"/>
      <c r="M252" s="68"/>
      <c r="N252" s="68"/>
      <c r="O252" s="68"/>
      <c r="P252" s="68"/>
      <c r="Q252" s="68"/>
    </row>
    <row r="253" spans="1:17" x14ac:dyDescent="0.35">
      <c r="A253" s="2" t="s">
        <v>500</v>
      </c>
      <c r="B253" s="1"/>
      <c r="C253" s="23" t="s">
        <v>477</v>
      </c>
      <c r="D253" s="1"/>
      <c r="E253" s="1"/>
      <c r="H253" s="67"/>
      <c r="I253" s="67"/>
      <c r="J253" s="67"/>
      <c r="K253" s="68"/>
      <c r="L253" s="67"/>
      <c r="M253" s="68"/>
      <c r="N253" s="68"/>
      <c r="O253" s="68"/>
      <c r="P253" s="68"/>
      <c r="Q253" s="68"/>
    </row>
    <row r="254" spans="1:17" x14ac:dyDescent="0.35">
      <c r="A254" s="2" t="s">
        <v>501</v>
      </c>
      <c r="B254" s="1"/>
      <c r="C254" s="8"/>
      <c r="D254" s="1"/>
      <c r="E254" s="1"/>
      <c r="H254" s="67" t="s">
        <v>502</v>
      </c>
      <c r="I254" s="67" t="s">
        <v>503</v>
      </c>
      <c r="J254" s="67" t="s">
        <v>504</v>
      </c>
      <c r="K254" s="68"/>
      <c r="L254" s="67"/>
      <c r="M254" s="68"/>
      <c r="N254" s="68"/>
      <c r="O254" s="68"/>
      <c r="P254" s="68"/>
      <c r="Q254" s="68"/>
    </row>
    <row r="255" spans="1:17" x14ac:dyDescent="0.35">
      <c r="A255" s="2" t="s">
        <v>505</v>
      </c>
      <c r="B255" s="1"/>
      <c r="C255" s="8"/>
      <c r="D255" s="1"/>
      <c r="E255" s="1"/>
      <c r="H255" s="67"/>
      <c r="I255" s="67"/>
      <c r="J255" s="67"/>
      <c r="K255" s="68"/>
      <c r="L255" s="67"/>
      <c r="M255" s="68"/>
      <c r="N255" s="68"/>
      <c r="O255" s="68"/>
      <c r="P255" s="68"/>
      <c r="Q255" s="68"/>
    </row>
    <row r="256" spans="1:17" x14ac:dyDescent="0.35">
      <c r="A256" s="2" t="s">
        <v>506</v>
      </c>
      <c r="B256" s="1"/>
      <c r="C256" s="8"/>
      <c r="D256" s="1"/>
      <c r="E256" s="1"/>
      <c r="H256" s="67"/>
      <c r="I256" s="67"/>
      <c r="J256" s="67"/>
      <c r="K256" s="68"/>
      <c r="L256" s="67"/>
      <c r="M256" s="68"/>
      <c r="N256" s="68"/>
      <c r="O256" s="68"/>
      <c r="P256" s="68"/>
      <c r="Q256" s="68"/>
    </row>
    <row r="257" spans="1:45" x14ac:dyDescent="0.35">
      <c r="A257" s="2" t="s">
        <v>507</v>
      </c>
      <c r="B257" s="1"/>
      <c r="C257" s="9"/>
      <c r="D257" s="1"/>
      <c r="E257" s="1"/>
      <c r="H257" s="66" t="s">
        <v>75</v>
      </c>
      <c r="I257" s="66" t="s">
        <v>71</v>
      </c>
      <c r="J257" s="67"/>
      <c r="K257" s="68"/>
      <c r="L257" s="67"/>
      <c r="M257" s="68"/>
      <c r="N257" s="68"/>
      <c r="O257" s="68"/>
      <c r="P257" s="68"/>
      <c r="Q257" s="68"/>
    </row>
    <row r="258" spans="1:45" x14ac:dyDescent="0.35">
      <c r="A258" s="2"/>
      <c r="B258" s="1"/>
      <c r="C258" s="1"/>
      <c r="D258" s="8"/>
      <c r="E258" s="1"/>
      <c r="H258"/>
      <c r="I258" s="67"/>
      <c r="J258" s="67"/>
      <c r="K258" s="68"/>
      <c r="L258" s="67"/>
      <c r="M258" s="68"/>
      <c r="N258" s="68"/>
      <c r="O258" s="68"/>
      <c r="P258" s="68"/>
      <c r="Q258" s="68"/>
    </row>
    <row r="259" spans="1:45" ht="15" thickBot="1" x14ac:dyDescent="0.4">
      <c r="A259" s="10" t="s">
        <v>508</v>
      </c>
      <c r="B259" s="11" t="s">
        <v>4</v>
      </c>
      <c r="C259" s="12" t="s">
        <v>5</v>
      </c>
      <c r="D259" s="11" t="s">
        <v>6</v>
      </c>
      <c r="E259" s="14" t="s">
        <v>7</v>
      </c>
      <c r="H259" s="67"/>
      <c r="I259" s="67"/>
      <c r="J259" s="67"/>
      <c r="K259" s="68"/>
      <c r="L259" s="67"/>
      <c r="M259" s="68"/>
      <c r="N259" s="68"/>
      <c r="O259" s="68"/>
      <c r="P259" s="68"/>
      <c r="Q259" s="68"/>
    </row>
    <row r="260" spans="1:45" ht="15" thickTop="1" x14ac:dyDescent="0.35">
      <c r="A260" s="2" t="s">
        <v>81</v>
      </c>
      <c r="B260" s="53" t="s">
        <v>82</v>
      </c>
      <c r="C260" s="8"/>
      <c r="D260" s="6"/>
      <c r="E260" s="1"/>
      <c r="H260" s="67"/>
      <c r="I260" s="67"/>
      <c r="J260" s="67"/>
      <c r="K260" s="68"/>
      <c r="L260" s="67"/>
      <c r="M260" s="68"/>
      <c r="N260" s="68"/>
      <c r="O260" s="68"/>
      <c r="P260" s="68"/>
      <c r="Q260" s="68"/>
    </row>
    <row r="261" spans="1:45" x14ac:dyDescent="0.35">
      <c r="A261" s="2" t="s">
        <v>121</v>
      </c>
      <c r="B261" s="53" t="s">
        <v>122</v>
      </c>
      <c r="C261" s="8"/>
      <c r="D261" s="1"/>
      <c r="E261" s="1"/>
      <c r="H261" s="67"/>
      <c r="I261" s="67"/>
      <c r="J261" s="67"/>
      <c r="K261" s="68"/>
      <c r="L261" s="67"/>
      <c r="M261" s="68"/>
      <c r="N261" s="68"/>
      <c r="O261" s="68"/>
      <c r="P261" s="68"/>
      <c r="Q261" s="68"/>
    </row>
    <row r="262" spans="1:45" x14ac:dyDescent="0.35">
      <c r="A262" s="2" t="s">
        <v>509</v>
      </c>
      <c r="B262" s="53" t="s">
        <v>510</v>
      </c>
      <c r="C262" s="85" t="s">
        <v>405</v>
      </c>
      <c r="D262" s="1"/>
      <c r="E262" s="1"/>
      <c r="H262" s="76" t="s">
        <v>405</v>
      </c>
      <c r="I262" s="5" t="s">
        <v>511</v>
      </c>
      <c r="J262" s="67"/>
      <c r="K262" s="68"/>
      <c r="L262" s="67"/>
      <c r="M262" s="68"/>
      <c r="N262" s="68"/>
      <c r="O262" s="68"/>
      <c r="P262" s="68"/>
      <c r="Q262" s="68"/>
    </row>
    <row r="263" spans="1:45" x14ac:dyDescent="0.35">
      <c r="A263" s="20"/>
      <c r="B263" s="53" t="s">
        <v>512</v>
      </c>
      <c r="C263" s="21" t="b">
        <v>1</v>
      </c>
      <c r="D263" s="1"/>
      <c r="E263" s="1"/>
      <c r="H263" s="78" t="b">
        <v>1</v>
      </c>
      <c r="I263" s="92" t="b">
        <v>0</v>
      </c>
      <c r="J263"/>
      <c r="K263"/>
      <c r="L263"/>
      <c r="M263"/>
      <c r="N263"/>
      <c r="O263"/>
      <c r="P263"/>
      <c r="Q263"/>
    </row>
    <row r="264" spans="1:45" x14ac:dyDescent="0.35">
      <c r="A264" s="20"/>
      <c r="B264" s="53" t="s">
        <v>513</v>
      </c>
      <c r="C264" s="25" t="b">
        <v>0</v>
      </c>
      <c r="D264" s="1"/>
      <c r="E264" s="1"/>
      <c r="H264" s="66" t="b">
        <v>1</v>
      </c>
      <c r="I264" s="78" t="b">
        <v>0</v>
      </c>
      <c r="J264"/>
      <c r="K264"/>
      <c r="L264"/>
      <c r="M264"/>
      <c r="N264"/>
      <c r="O264"/>
      <c r="P264"/>
      <c r="Q264"/>
    </row>
    <row r="265" spans="1:45" x14ac:dyDescent="0.35">
      <c r="A265" s="20" t="s">
        <v>514</v>
      </c>
      <c r="B265" s="53" t="s">
        <v>515</v>
      </c>
      <c r="C265" s="8"/>
      <c r="D265" s="1"/>
      <c r="E265" s="1"/>
      <c r="H265" s="5">
        <v>2</v>
      </c>
      <c r="I265"/>
      <c r="J265"/>
      <c r="K265"/>
      <c r="L265"/>
      <c r="M265"/>
      <c r="N265"/>
      <c r="O265"/>
      <c r="P265"/>
      <c r="Q265"/>
    </row>
    <row r="266" spans="1:45" x14ac:dyDescent="0.35">
      <c r="A266" s="20" t="s">
        <v>516</v>
      </c>
      <c r="B266" s="53" t="s">
        <v>517</v>
      </c>
      <c r="C266" s="21"/>
      <c r="D266" s="1"/>
      <c r="E266" s="1"/>
      <c r="H266" s="66" t="b">
        <v>1</v>
      </c>
      <c r="I266" s="66" t="b">
        <v>0</v>
      </c>
      <c r="J266" s="67"/>
      <c r="K266" s="68"/>
      <c r="L266" s="67"/>
      <c r="M266" s="68"/>
      <c r="N266" s="68"/>
      <c r="O266" s="68"/>
      <c r="P266" s="68"/>
      <c r="Q266" s="68"/>
    </row>
    <row r="267" spans="1:45" x14ac:dyDescent="0.35">
      <c r="A267" s="2"/>
      <c r="B267" s="1"/>
      <c r="C267" s="8"/>
      <c r="D267" s="1"/>
      <c r="H267" s="67"/>
      <c r="I267" s="67"/>
      <c r="J267" s="67"/>
      <c r="K267" s="68"/>
      <c r="L267" s="67"/>
      <c r="M267" s="68"/>
      <c r="N267" s="68"/>
      <c r="O267" s="68"/>
      <c r="P267" s="68"/>
      <c r="Q267" s="68"/>
    </row>
    <row r="268" spans="1:45" ht="15" thickBot="1" x14ac:dyDescent="0.4">
      <c r="A268" s="10" t="s">
        <v>518</v>
      </c>
      <c r="B268" s="11" t="s">
        <v>4</v>
      </c>
      <c r="C268" s="12" t="s">
        <v>5</v>
      </c>
      <c r="D268" s="11" t="s">
        <v>6</v>
      </c>
      <c r="E268" s="14" t="s">
        <v>7</v>
      </c>
      <c r="H268" s="67"/>
      <c r="I268" s="67"/>
      <c r="J268" s="67"/>
      <c r="K268" s="68"/>
      <c r="L268" s="67"/>
      <c r="M268" s="68"/>
      <c r="N268" s="68"/>
      <c r="O268" s="68"/>
      <c r="P268" s="68"/>
      <c r="Q268" s="68"/>
    </row>
    <row r="269" spans="1:45" ht="15" thickTop="1" x14ac:dyDescent="0.35">
      <c r="A269" s="2" t="s">
        <v>81</v>
      </c>
      <c r="B269" s="53" t="s">
        <v>82</v>
      </c>
      <c r="C269" s="8"/>
      <c r="D269" s="6"/>
      <c r="E269" s="1"/>
      <c r="H269" s="67"/>
      <c r="I269" s="67"/>
      <c r="J269" s="67"/>
      <c r="K269" s="68"/>
      <c r="L269" s="67"/>
      <c r="M269" s="68"/>
      <c r="N269" s="68"/>
      <c r="O269" s="68"/>
      <c r="P269" s="68"/>
      <c r="Q269" s="68"/>
    </row>
    <row r="270" spans="1:45" x14ac:dyDescent="0.35">
      <c r="A270" s="20" t="s">
        <v>519</v>
      </c>
      <c r="B270" s="53" t="s">
        <v>520</v>
      </c>
      <c r="C270" s="8"/>
      <c r="D270" s="1"/>
      <c r="E270" s="1"/>
      <c r="H270" s="66" t="s">
        <v>521</v>
      </c>
      <c r="I270" s="66" t="s">
        <v>522</v>
      </c>
      <c r="J270" s="66" t="s">
        <v>523</v>
      </c>
      <c r="K270" s="68"/>
      <c r="L270" s="67"/>
      <c r="M270" s="68"/>
      <c r="N270" s="68"/>
      <c r="O270" s="68"/>
      <c r="P270" s="68"/>
      <c r="Q270" s="68"/>
    </row>
    <row r="271" spans="1:45" x14ac:dyDescent="0.35">
      <c r="A271" s="20" t="s">
        <v>524</v>
      </c>
      <c r="B271" s="53" t="s">
        <v>130</v>
      </c>
      <c r="C271" s="8"/>
      <c r="D271" s="1"/>
      <c r="E271" s="1"/>
      <c r="H271" s="5" t="s">
        <v>525</v>
      </c>
      <c r="I271" s="5" t="s">
        <v>526</v>
      </c>
      <c r="J271" s="5" t="s">
        <v>527</v>
      </c>
      <c r="K271" s="5" t="s">
        <v>528</v>
      </c>
      <c r="L271" s="5" t="s">
        <v>529</v>
      </c>
      <c r="M271" s="5" t="s">
        <v>530</v>
      </c>
      <c r="N271" s="5" t="s">
        <v>531</v>
      </c>
      <c r="O271" s="5" t="s">
        <v>532</v>
      </c>
      <c r="P271" s="5" t="s">
        <v>533</v>
      </c>
      <c r="Q271" s="5" t="s">
        <v>534</v>
      </c>
      <c r="R271" s="5" t="s">
        <v>535</v>
      </c>
      <c r="S271" s="5" t="s">
        <v>536</v>
      </c>
      <c r="T271" s="5" t="s">
        <v>537</v>
      </c>
      <c r="U271" s="5" t="s">
        <v>538</v>
      </c>
      <c r="V271" s="5" t="s">
        <v>539</v>
      </c>
      <c r="W271" s="5" t="s">
        <v>540</v>
      </c>
      <c r="X271" s="5" t="s">
        <v>541</v>
      </c>
      <c r="Y271" s="5" t="s">
        <v>542</v>
      </c>
      <c r="Z271" s="5" t="s">
        <v>543</v>
      </c>
      <c r="AA271" s="5" t="s">
        <v>544</v>
      </c>
      <c r="AB271" s="5" t="s">
        <v>545</v>
      </c>
      <c r="AC271" s="5" t="s">
        <v>546</v>
      </c>
      <c r="AD271" s="5" t="s">
        <v>547</v>
      </c>
      <c r="AE271" s="5" t="s">
        <v>548</v>
      </c>
      <c r="AF271" s="5" t="s">
        <v>549</v>
      </c>
      <c r="AG271" s="5" t="s">
        <v>550</v>
      </c>
      <c r="AH271" s="5" t="s">
        <v>551</v>
      </c>
      <c r="AI271" s="5" t="s">
        <v>552</v>
      </c>
      <c r="AJ271" s="5" t="s">
        <v>553</v>
      </c>
      <c r="AK271" s="5" t="s">
        <v>554</v>
      </c>
      <c r="AL271" s="5" t="s">
        <v>555</v>
      </c>
      <c r="AM271" s="5" t="s">
        <v>556</v>
      </c>
      <c r="AN271" s="5" t="s">
        <v>557</v>
      </c>
      <c r="AO271" s="5" t="s">
        <v>558</v>
      </c>
      <c r="AP271" s="5" t="s">
        <v>559</v>
      </c>
      <c r="AQ271" s="5" t="s">
        <v>560</v>
      </c>
      <c r="AR271" s="5" t="s">
        <v>561</v>
      </c>
      <c r="AS271" s="5" t="s">
        <v>562</v>
      </c>
    </row>
    <row r="272" spans="1:45" x14ac:dyDescent="0.35">
      <c r="A272" s="20"/>
      <c r="B272" s="53" t="s">
        <v>563</v>
      </c>
      <c r="C272" s="8"/>
      <c r="D272" s="1"/>
      <c r="E272" s="1"/>
      <c r="H272"/>
      <c r="I272"/>
      <c r="J272"/>
      <c r="K272"/>
      <c r="L272"/>
      <c r="M272"/>
      <c r="N272"/>
      <c r="O272"/>
      <c r="P272"/>
      <c r="Q272"/>
    </row>
    <row r="273" spans="1:17" x14ac:dyDescent="0.35">
      <c r="A273" s="20"/>
      <c r="B273" s="53" t="s">
        <v>564</v>
      </c>
      <c r="C273" s="8"/>
      <c r="D273" s="1"/>
      <c r="E273" s="1"/>
      <c r="H273"/>
      <c r="I273"/>
      <c r="J273"/>
      <c r="K273"/>
      <c r="L273"/>
      <c r="M273"/>
      <c r="N273"/>
      <c r="O273"/>
      <c r="P273"/>
      <c r="Q273"/>
    </row>
    <row r="274" spans="1:17" x14ac:dyDescent="0.35">
      <c r="A274" s="2"/>
      <c r="B274" s="53" t="s">
        <v>565</v>
      </c>
      <c r="C274" s="21" t="b">
        <v>0</v>
      </c>
      <c r="D274" s="1"/>
      <c r="E274" s="1"/>
      <c r="H274" s="66" t="b">
        <v>1</v>
      </c>
      <c r="I274" s="78" t="b">
        <v>0</v>
      </c>
      <c r="J274" s="67"/>
      <c r="K274" s="68"/>
      <c r="L274" s="67"/>
      <c r="M274" s="68"/>
      <c r="N274" s="68"/>
      <c r="O274" s="68"/>
      <c r="P274" s="68"/>
      <c r="Q274" s="68"/>
    </row>
    <row r="275" spans="1:17" x14ac:dyDescent="0.35">
      <c r="A275" s="20" t="s">
        <v>516</v>
      </c>
      <c r="B275" s="53" t="s">
        <v>566</v>
      </c>
      <c r="C275" s="8"/>
      <c r="D275" s="1"/>
      <c r="E275" s="1"/>
      <c r="H275" s="66" t="b">
        <v>1</v>
      </c>
      <c r="I275" s="66" t="b">
        <v>0</v>
      </c>
      <c r="J275" s="67"/>
      <c r="K275" s="68"/>
      <c r="L275" s="67"/>
      <c r="M275" s="68"/>
      <c r="N275" s="68"/>
      <c r="O275" s="68"/>
      <c r="P275" s="68"/>
      <c r="Q275" s="68"/>
    </row>
    <row r="276" spans="1:17" x14ac:dyDescent="0.35">
      <c r="A276" s="2"/>
      <c r="B276" s="1"/>
      <c r="C276" s="8"/>
      <c r="D276" s="1"/>
      <c r="H276" s="67"/>
      <c r="I276" s="67"/>
      <c r="J276" s="67"/>
      <c r="K276" s="67"/>
      <c r="L276" s="67"/>
      <c r="M276" s="68"/>
      <c r="N276" s="68"/>
      <c r="O276" s="68"/>
      <c r="P276" s="68"/>
      <c r="Q276" s="68"/>
    </row>
    <row r="277" spans="1:17" ht="15" thickBot="1" x14ac:dyDescent="0.4">
      <c r="A277" s="10" t="s">
        <v>567</v>
      </c>
      <c r="B277" s="11" t="s">
        <v>4</v>
      </c>
      <c r="C277" s="12" t="s">
        <v>5</v>
      </c>
      <c r="D277" s="11" t="s">
        <v>6</v>
      </c>
      <c r="E277" s="14" t="s">
        <v>7</v>
      </c>
      <c r="H277" s="67"/>
      <c r="I277" s="67"/>
      <c r="J277" s="67"/>
      <c r="K277" s="68"/>
      <c r="L277" s="67"/>
      <c r="M277" s="68"/>
      <c r="N277" s="68"/>
      <c r="O277" s="68"/>
      <c r="P277" s="68"/>
      <c r="Q277" s="68"/>
    </row>
    <row r="278" spans="1:17" ht="15" thickTop="1" x14ac:dyDescent="0.35">
      <c r="A278" s="2" t="s">
        <v>81</v>
      </c>
      <c r="B278" s="53" t="s">
        <v>82</v>
      </c>
      <c r="C278" s="8"/>
      <c r="D278" s="6"/>
      <c r="E278" s="1"/>
      <c r="H278" s="67"/>
      <c r="I278" s="67"/>
      <c r="J278" s="67"/>
      <c r="K278" s="68"/>
      <c r="L278" s="67"/>
      <c r="M278" s="68"/>
      <c r="N278" s="68"/>
      <c r="O278" s="68"/>
      <c r="P278" s="68"/>
      <c r="Q278" s="68"/>
    </row>
    <row r="279" spans="1:17" x14ac:dyDescent="0.35">
      <c r="A279" s="2" t="s">
        <v>121</v>
      </c>
      <c r="B279" s="53" t="s">
        <v>122</v>
      </c>
      <c r="C279" s="21"/>
      <c r="D279" s="1"/>
      <c r="E279" s="1"/>
      <c r="H279" s="67"/>
      <c r="I279" s="67"/>
      <c r="J279" s="67"/>
      <c r="K279" s="68"/>
      <c r="L279" s="67"/>
      <c r="M279" s="68"/>
      <c r="N279" s="68"/>
      <c r="O279" s="68"/>
      <c r="P279" s="68"/>
      <c r="Q279" s="68"/>
    </row>
    <row r="280" spans="1:17" x14ac:dyDescent="0.35">
      <c r="A280" s="2" t="s">
        <v>568</v>
      </c>
      <c r="B280" s="1"/>
      <c r="C280" s="8"/>
      <c r="D280" s="1"/>
      <c r="E280" s="1"/>
      <c r="H280" s="66" t="s">
        <v>569</v>
      </c>
      <c r="I280" s="66" t="s">
        <v>570</v>
      </c>
      <c r="J280" s="67"/>
      <c r="K280" s="68"/>
      <c r="L280" s="67"/>
      <c r="M280" s="68"/>
      <c r="N280" s="68"/>
      <c r="O280" s="68"/>
      <c r="P280" s="68"/>
      <c r="Q280" s="68"/>
    </row>
    <row r="281" spans="1:17" x14ac:dyDescent="0.35">
      <c r="A281" s="2"/>
      <c r="B281" s="53" t="s">
        <v>571</v>
      </c>
      <c r="C281" s="85"/>
      <c r="D281" s="1"/>
      <c r="E281" s="1"/>
      <c r="H281" s="66" t="s">
        <v>572</v>
      </c>
      <c r="I281" s="66" t="s">
        <v>573</v>
      </c>
      <c r="J281" s="66" t="s">
        <v>574</v>
      </c>
      <c r="K281" s="69" t="s">
        <v>575</v>
      </c>
      <c r="L281" s="66" t="s">
        <v>576</v>
      </c>
      <c r="M281" s="69" t="s">
        <v>577</v>
      </c>
      <c r="N281" s="68"/>
      <c r="O281" s="68"/>
      <c r="P281" s="68"/>
      <c r="Q281" s="68"/>
    </row>
    <row r="282" spans="1:17" x14ac:dyDescent="0.35">
      <c r="A282" s="20" t="s">
        <v>578</v>
      </c>
      <c r="B282" s="95" t="s">
        <v>579</v>
      </c>
      <c r="C282" s="21"/>
      <c r="D282" s="1"/>
      <c r="E282" s="1"/>
      <c r="H282" s="67"/>
      <c r="I282" s="67"/>
      <c r="J282" s="67"/>
      <c r="K282" s="68"/>
      <c r="L282" s="67"/>
      <c r="M282" s="68"/>
      <c r="N282" s="68"/>
      <c r="O282" s="68"/>
      <c r="P282" s="68"/>
      <c r="Q282" s="68"/>
    </row>
    <row r="283" spans="1:17" x14ac:dyDescent="0.35">
      <c r="A283" s="20" t="s">
        <v>580</v>
      </c>
      <c r="B283" s="52" t="s">
        <v>581</v>
      </c>
      <c r="C283" s="25"/>
      <c r="D283" s="1"/>
      <c r="E283" s="1"/>
      <c r="H283" s="67"/>
      <c r="I283" s="67"/>
      <c r="J283" s="67"/>
      <c r="K283" s="68"/>
      <c r="L283" s="67"/>
      <c r="M283" s="68"/>
      <c r="N283" s="68"/>
      <c r="O283" s="68"/>
      <c r="P283" s="68"/>
      <c r="Q283" s="68"/>
    </row>
    <row r="284" spans="1:17" x14ac:dyDescent="0.35">
      <c r="A284" s="2"/>
      <c r="B284" s="52" t="s">
        <v>582</v>
      </c>
      <c r="C284" s="8"/>
      <c r="D284" s="1"/>
      <c r="E284" s="1"/>
      <c r="H284" s="67"/>
      <c r="I284" s="67"/>
      <c r="J284" s="67"/>
      <c r="K284" s="68"/>
      <c r="L284" s="67"/>
      <c r="M284" s="68"/>
      <c r="N284" s="68"/>
      <c r="O284" s="68"/>
      <c r="P284" s="68"/>
      <c r="Q284" s="68"/>
    </row>
    <row r="285" spans="1:17" x14ac:dyDescent="0.35">
      <c r="A285" s="2"/>
      <c r="B285" s="1"/>
      <c r="C285" s="8"/>
      <c r="D285" s="1"/>
      <c r="H285" s="67"/>
      <c r="I285" s="67"/>
      <c r="J285" s="67"/>
      <c r="K285" s="68"/>
      <c r="L285" s="67"/>
      <c r="M285" s="68"/>
      <c r="N285" s="68"/>
      <c r="O285" s="68"/>
      <c r="P285" s="68"/>
      <c r="Q285" s="68"/>
    </row>
    <row r="286" spans="1:17" ht="15" thickBot="1" x14ac:dyDescent="0.4">
      <c r="A286" s="10" t="s">
        <v>583</v>
      </c>
      <c r="B286" s="11" t="s">
        <v>4</v>
      </c>
      <c r="C286" s="12" t="s">
        <v>5</v>
      </c>
      <c r="D286" s="11" t="s">
        <v>6</v>
      </c>
      <c r="E286" s="14" t="s">
        <v>7</v>
      </c>
      <c r="H286" s="67"/>
      <c r="I286" s="67"/>
      <c r="J286" s="67"/>
      <c r="K286" s="68"/>
      <c r="L286" s="67"/>
      <c r="M286" s="68"/>
      <c r="N286" s="68"/>
      <c r="O286" s="68"/>
      <c r="P286" s="68"/>
      <c r="Q286" s="68"/>
    </row>
    <row r="287" spans="1:17" ht="15" thickTop="1" x14ac:dyDescent="0.35">
      <c r="A287" s="2" t="s">
        <v>81</v>
      </c>
      <c r="B287" s="53" t="s">
        <v>82</v>
      </c>
      <c r="C287" s="8"/>
      <c r="D287" s="6"/>
      <c r="E287" s="1"/>
      <c r="H287" s="67"/>
      <c r="I287" s="67"/>
      <c r="J287" s="67"/>
      <c r="K287" s="68"/>
      <c r="L287" s="67"/>
      <c r="M287" s="68"/>
      <c r="N287" s="68"/>
      <c r="O287" s="68"/>
      <c r="P287" s="68"/>
      <c r="Q287" s="68"/>
    </row>
    <row r="288" spans="1:17" x14ac:dyDescent="0.35">
      <c r="A288" s="20" t="s">
        <v>584</v>
      </c>
      <c r="B288" s="53" t="s">
        <v>130</v>
      </c>
      <c r="C288" s="8"/>
      <c r="D288" s="1"/>
      <c r="E288" s="1"/>
      <c r="H288" s="92" t="s">
        <v>465</v>
      </c>
      <c r="I288" s="66" t="s">
        <v>131</v>
      </c>
      <c r="J288" s="66" t="s">
        <v>285</v>
      </c>
      <c r="K288" s="68"/>
      <c r="L288" s="67"/>
      <c r="M288" s="68"/>
      <c r="N288" s="68"/>
      <c r="O288" s="68"/>
      <c r="P288" s="68"/>
      <c r="Q288" s="68"/>
    </row>
    <row r="289" spans="1:17" x14ac:dyDescent="0.35">
      <c r="A289" s="20" t="s">
        <v>585</v>
      </c>
      <c r="B289" s="53" t="s">
        <v>586</v>
      </c>
      <c r="C289" s="8"/>
      <c r="D289" s="1"/>
      <c r="E289" s="1"/>
      <c r="H289" s="92" t="s">
        <v>587</v>
      </c>
      <c r="I289" s="66" t="s">
        <v>588</v>
      </c>
      <c r="J289" s="67"/>
      <c r="K289" s="68"/>
      <c r="L289" s="67"/>
      <c r="M289" s="68"/>
      <c r="N289" s="68"/>
      <c r="O289" s="68"/>
      <c r="P289" s="68"/>
      <c r="Q289" s="68"/>
    </row>
    <row r="290" spans="1:17" x14ac:dyDescent="0.35">
      <c r="A290" s="20"/>
      <c r="B290" s="53" t="s">
        <v>589</v>
      </c>
      <c r="C290" s="8"/>
      <c r="D290" s="1"/>
      <c r="E290" s="1"/>
      <c r="H290" s="92" t="s">
        <v>590</v>
      </c>
      <c r="I290" s="66" t="s">
        <v>591</v>
      </c>
      <c r="J290" s="67"/>
      <c r="K290" s="68"/>
      <c r="L290" s="67"/>
      <c r="M290" s="68"/>
      <c r="N290" s="68"/>
      <c r="O290" s="68"/>
      <c r="P290" s="68"/>
      <c r="Q290" s="68"/>
    </row>
    <row r="291" spans="1:17" x14ac:dyDescent="0.35">
      <c r="A291" s="20"/>
      <c r="B291" s="53" t="s">
        <v>592</v>
      </c>
      <c r="C291" s="8"/>
      <c r="D291" s="1"/>
      <c r="E291" s="1"/>
      <c r="H291" s="67"/>
      <c r="I291" s="67"/>
      <c r="J291" s="67"/>
      <c r="K291" s="68"/>
      <c r="L291" s="67"/>
      <c r="M291" s="68"/>
      <c r="N291" s="68"/>
      <c r="O291" s="68"/>
      <c r="P291" s="68"/>
      <c r="Q291" s="68"/>
    </row>
    <row r="292" spans="1:17" x14ac:dyDescent="0.35">
      <c r="A292" s="20" t="s">
        <v>593</v>
      </c>
      <c r="B292" s="52" t="s">
        <v>473</v>
      </c>
      <c r="C292" s="8"/>
      <c r="D292" s="1"/>
      <c r="E292" s="1"/>
      <c r="H292" s="66" t="b">
        <v>1</v>
      </c>
      <c r="I292" s="66" t="b">
        <v>0</v>
      </c>
      <c r="J292" s="67"/>
      <c r="K292" s="68"/>
      <c r="L292" s="67"/>
      <c r="M292" s="68"/>
      <c r="N292" s="68"/>
      <c r="O292" s="68"/>
      <c r="P292" s="68"/>
      <c r="Q292" s="68"/>
    </row>
    <row r="293" spans="1:17" x14ac:dyDescent="0.35">
      <c r="A293" s="20"/>
      <c r="B293" s="53" t="s">
        <v>594</v>
      </c>
      <c r="C293" s="8"/>
      <c r="D293" s="1"/>
      <c r="E293" s="1"/>
      <c r="H293" s="67"/>
      <c r="I293" s="67"/>
      <c r="J293" s="67"/>
      <c r="K293" s="68"/>
      <c r="L293" s="67"/>
      <c r="M293" s="68"/>
      <c r="N293" s="68"/>
      <c r="O293" s="68"/>
      <c r="P293" s="68"/>
      <c r="Q293" s="68"/>
    </row>
    <row r="294" spans="1:17" x14ac:dyDescent="0.35">
      <c r="A294" s="20"/>
      <c r="B294" s="53" t="s">
        <v>595</v>
      </c>
      <c r="C294" s="8"/>
      <c r="D294" s="1"/>
      <c r="E294" s="1"/>
      <c r="H294" s="67"/>
      <c r="I294" s="67"/>
      <c r="J294" s="67"/>
      <c r="K294" s="68"/>
      <c r="L294" s="67"/>
      <c r="M294" s="68"/>
      <c r="N294" s="68"/>
      <c r="O294" s="68"/>
      <c r="P294" s="68"/>
      <c r="Q294" s="68"/>
    </row>
    <row r="295" spans="1:17" x14ac:dyDescent="0.35">
      <c r="A295" s="20" t="s">
        <v>596</v>
      </c>
      <c r="B295" s="53" t="s">
        <v>597</v>
      </c>
      <c r="C295" s="8"/>
      <c r="D295" s="1"/>
      <c r="E295" s="1"/>
      <c r="H295" s="66">
        <v>4</v>
      </c>
      <c r="I295" s="78">
        <v>6</v>
      </c>
      <c r="J295" s="67"/>
      <c r="K295" s="68"/>
      <c r="L295" s="67"/>
      <c r="M295" s="68"/>
      <c r="N295" s="68"/>
      <c r="O295" s="68"/>
      <c r="P295" s="68"/>
      <c r="Q295" s="68"/>
    </row>
    <row r="296" spans="1:17" x14ac:dyDescent="0.35">
      <c r="A296" s="2" t="s">
        <v>598</v>
      </c>
      <c r="B296" s="53" t="s">
        <v>595</v>
      </c>
      <c r="C296" s="21"/>
      <c r="D296" s="1"/>
      <c r="E296" s="1"/>
      <c r="H296" s="70" t="s">
        <v>599</v>
      </c>
      <c r="I296" s="66">
        <v>1.1000000000000001</v>
      </c>
      <c r="J296" s="66">
        <v>1.2</v>
      </c>
      <c r="K296" s="68"/>
      <c r="L296" s="67"/>
      <c r="M296" s="68"/>
      <c r="N296" s="68"/>
      <c r="O296" s="68"/>
      <c r="P296" s="68"/>
      <c r="Q296" s="68"/>
    </row>
    <row r="297" spans="1:17" x14ac:dyDescent="0.35">
      <c r="A297" s="2"/>
      <c r="B297" s="1" t="s">
        <v>600</v>
      </c>
      <c r="C297" s="8"/>
      <c r="D297" s="1"/>
      <c r="E297" s="1"/>
      <c r="H297" s="66" t="s">
        <v>162</v>
      </c>
      <c r="I297" s="66" t="s">
        <v>246</v>
      </c>
      <c r="J297" s="66" t="s">
        <v>247</v>
      </c>
      <c r="K297" s="68"/>
      <c r="L297" s="67"/>
      <c r="M297" s="68"/>
      <c r="N297" s="68"/>
      <c r="O297" s="68"/>
      <c r="P297" s="68"/>
      <c r="Q297" s="68"/>
    </row>
    <row r="298" spans="1:17" x14ac:dyDescent="0.35">
      <c r="A298" s="2"/>
      <c r="B298" s="1" t="s">
        <v>601</v>
      </c>
      <c r="C298" s="8"/>
      <c r="D298" s="1"/>
      <c r="E298" s="1"/>
      <c r="H298" s="67"/>
      <c r="I298" s="67"/>
      <c r="J298" s="67"/>
      <c r="K298" s="68"/>
      <c r="L298" s="67"/>
      <c r="M298" s="68"/>
      <c r="N298" s="68"/>
      <c r="O298" s="68"/>
      <c r="P298" s="68"/>
      <c r="Q298" s="68"/>
    </row>
    <row r="299" spans="1:17" x14ac:dyDescent="0.35">
      <c r="A299" s="20" t="s">
        <v>602</v>
      </c>
      <c r="B299" s="53" t="s">
        <v>427</v>
      </c>
      <c r="C299" s="8"/>
      <c r="D299" s="1"/>
      <c r="E299" s="1"/>
      <c r="H299" s="67"/>
      <c r="I299" s="67"/>
      <c r="J299" s="67"/>
      <c r="K299" s="68"/>
      <c r="L299" s="67"/>
      <c r="M299" s="68"/>
      <c r="N299" s="68"/>
      <c r="O299" s="68"/>
      <c r="P299" s="68"/>
      <c r="Q299" s="68"/>
    </row>
    <row r="300" spans="1:17" x14ac:dyDescent="0.35">
      <c r="A300" s="2" t="s">
        <v>603</v>
      </c>
      <c r="B300" s="53" t="s">
        <v>604</v>
      </c>
      <c r="C300" s="8"/>
      <c r="D300" s="1"/>
      <c r="E300" s="1"/>
      <c r="H300" s="66" t="b">
        <v>1</v>
      </c>
      <c r="I300" s="78" t="b">
        <v>0</v>
      </c>
      <c r="J300" s="67"/>
      <c r="K300" s="68"/>
      <c r="L300" s="67"/>
      <c r="M300" s="68"/>
      <c r="N300" s="68"/>
      <c r="O300" s="68"/>
      <c r="P300" s="68"/>
      <c r="Q300" s="68"/>
    </row>
    <row r="301" spans="1:17" x14ac:dyDescent="0.35">
      <c r="A301" s="2" t="s">
        <v>605</v>
      </c>
      <c r="B301" s="53" t="s">
        <v>606</v>
      </c>
      <c r="C301" s="8"/>
      <c r="D301" s="1"/>
      <c r="E301" s="1"/>
      <c r="H301" s="78" t="b">
        <v>1</v>
      </c>
      <c r="I301" s="66" t="b">
        <v>0</v>
      </c>
      <c r="J301" s="67"/>
      <c r="K301" s="68"/>
      <c r="L301" s="67"/>
      <c r="M301" s="68"/>
      <c r="N301" s="68"/>
      <c r="O301" s="68"/>
      <c r="P301" s="68"/>
      <c r="Q301" s="68"/>
    </row>
    <row r="302" spans="1:17" x14ac:dyDescent="0.35">
      <c r="A302" s="2"/>
      <c r="B302" s="1"/>
      <c r="C302" s="8"/>
      <c r="D302" s="1"/>
      <c r="H302" s="67"/>
      <c r="I302" s="67"/>
      <c r="J302" s="67"/>
      <c r="K302" s="67"/>
      <c r="L302" s="67"/>
      <c r="M302" s="68"/>
      <c r="N302" s="68"/>
      <c r="O302" s="68"/>
      <c r="P302" s="68"/>
      <c r="Q302" s="68"/>
    </row>
    <row r="303" spans="1:17" ht="15" thickBot="1" x14ac:dyDescent="0.4">
      <c r="A303" s="10" t="s">
        <v>607</v>
      </c>
      <c r="B303" s="11" t="s">
        <v>4</v>
      </c>
      <c r="C303" s="12" t="s">
        <v>5</v>
      </c>
      <c r="D303" s="11" t="s">
        <v>6</v>
      </c>
      <c r="E303" s="14" t="s">
        <v>7</v>
      </c>
      <c r="H303" s="67"/>
      <c r="I303" s="67"/>
      <c r="J303" s="67"/>
      <c r="K303" s="67"/>
      <c r="L303" s="67"/>
      <c r="M303" s="68"/>
      <c r="N303" s="68"/>
      <c r="O303" s="68"/>
      <c r="P303" s="68"/>
      <c r="Q303" s="68"/>
    </row>
    <row r="304" spans="1:17" ht="15" thickTop="1" x14ac:dyDescent="0.35">
      <c r="A304" s="15" t="s">
        <v>81</v>
      </c>
      <c r="B304" s="53" t="s">
        <v>82</v>
      </c>
      <c r="C304" s="8"/>
      <c r="D304" s="6"/>
      <c r="E304" s="1"/>
      <c r="H304" s="67"/>
      <c r="I304" s="67"/>
      <c r="J304" s="67"/>
      <c r="K304" s="67"/>
      <c r="L304" s="67"/>
      <c r="M304" s="68"/>
      <c r="N304" s="68"/>
      <c r="O304" s="68"/>
      <c r="P304" s="68"/>
      <c r="Q304" s="68"/>
    </row>
    <row r="305" spans="1:17" x14ac:dyDescent="0.35">
      <c r="A305" s="2" t="s">
        <v>608</v>
      </c>
      <c r="B305" s="53" t="s">
        <v>609</v>
      </c>
      <c r="C305" s="8"/>
      <c r="D305" s="1"/>
      <c r="E305" s="1"/>
      <c r="H305" s="67"/>
      <c r="I305" s="67"/>
      <c r="J305" s="67"/>
      <c r="K305" s="67"/>
      <c r="L305" s="67"/>
      <c r="M305" s="68"/>
      <c r="N305" s="68"/>
      <c r="O305" s="68"/>
      <c r="P305" s="68"/>
      <c r="Q305" s="68"/>
    </row>
    <row r="306" spans="1:17" x14ac:dyDescent="0.35">
      <c r="A306" s="15"/>
      <c r="B306" s="53" t="s">
        <v>610</v>
      </c>
      <c r="C306" s="8"/>
      <c r="D306" s="1"/>
      <c r="E306" s="1"/>
      <c r="H306" s="66" t="s">
        <v>611</v>
      </c>
      <c r="I306" s="66" t="s">
        <v>577</v>
      </c>
      <c r="J306" s="66" t="s">
        <v>612</v>
      </c>
      <c r="K306" s="66" t="s">
        <v>613</v>
      </c>
      <c r="L306" s="66" t="s">
        <v>614</v>
      </c>
      <c r="M306" s="69" t="s">
        <v>615</v>
      </c>
      <c r="N306" s="69" t="s">
        <v>616</v>
      </c>
      <c r="O306" s="69" t="s">
        <v>617</v>
      </c>
      <c r="P306" s="68"/>
      <c r="Q306" s="68"/>
    </row>
    <row r="307" spans="1:17" x14ac:dyDescent="0.35">
      <c r="A307" s="2"/>
      <c r="B307" s="53" t="s">
        <v>618</v>
      </c>
      <c r="C307" s="8"/>
      <c r="D307" s="1"/>
      <c r="E307" s="1"/>
      <c r="H307" s="16">
        <v>100</v>
      </c>
      <c r="I307" s="67"/>
      <c r="J307" s="67"/>
      <c r="K307" s="67"/>
      <c r="L307" s="67"/>
      <c r="M307" s="68"/>
      <c r="N307" s="68"/>
      <c r="O307" s="68"/>
      <c r="P307" s="68"/>
      <c r="Q307" s="68"/>
    </row>
    <row r="308" spans="1:17" x14ac:dyDescent="0.35">
      <c r="A308" s="2"/>
      <c r="B308" s="53" t="s">
        <v>619</v>
      </c>
      <c r="C308" s="8"/>
      <c r="D308" s="1"/>
      <c r="E308" s="1"/>
      <c r="H308" s="66" t="b">
        <v>1</v>
      </c>
      <c r="I308" s="78" t="b">
        <v>0</v>
      </c>
      <c r="J308" s="67"/>
      <c r="K308" s="67"/>
      <c r="L308" s="67"/>
      <c r="M308" s="68"/>
      <c r="N308" s="68"/>
      <c r="O308" s="68"/>
      <c r="P308" s="68"/>
      <c r="Q308" s="68"/>
    </row>
    <row r="309" spans="1:17" x14ac:dyDescent="0.35">
      <c r="A309" s="2"/>
      <c r="B309" s="53" t="s">
        <v>620</v>
      </c>
      <c r="C309" s="8"/>
      <c r="D309" s="1"/>
      <c r="E309" s="1"/>
      <c r="H309" s="66" t="b">
        <v>1</v>
      </c>
      <c r="I309" s="78" t="b">
        <v>0</v>
      </c>
      <c r="J309" s="67"/>
      <c r="K309" s="67"/>
      <c r="L309" s="67"/>
      <c r="M309" s="68"/>
      <c r="N309" s="68"/>
      <c r="O309" s="68"/>
      <c r="P309" s="68"/>
      <c r="Q309" s="68"/>
    </row>
    <row r="310" spans="1:17" x14ac:dyDescent="0.35">
      <c r="A310" s="2"/>
      <c r="B310" s="53" t="s">
        <v>621</v>
      </c>
      <c r="C310" s="8"/>
      <c r="D310" s="1"/>
      <c r="E310" s="1"/>
      <c r="H310" s="66" t="b">
        <v>1</v>
      </c>
      <c r="I310" s="78" t="b">
        <v>0</v>
      </c>
      <c r="J310" s="67"/>
      <c r="K310" s="67"/>
      <c r="L310" s="67"/>
      <c r="M310" s="68"/>
      <c r="N310" s="68"/>
      <c r="O310" s="68"/>
      <c r="P310" s="68"/>
      <c r="Q310" s="68"/>
    </row>
    <row r="311" spans="1:17" x14ac:dyDescent="0.35">
      <c r="A311" s="2"/>
      <c r="B311" s="53" t="s">
        <v>622</v>
      </c>
      <c r="C311" s="8"/>
      <c r="D311" s="1"/>
      <c r="E311" s="1"/>
      <c r="H311" s="78" t="b">
        <v>1</v>
      </c>
      <c r="I311" s="66" t="b">
        <v>0</v>
      </c>
      <c r="J311" s="67"/>
      <c r="K311" s="67"/>
      <c r="L311" s="67"/>
      <c r="M311" s="68"/>
      <c r="N311" s="68"/>
      <c r="O311" s="68"/>
      <c r="P311" s="68"/>
      <c r="Q311" s="68"/>
    </row>
    <row r="312" spans="1:17" x14ac:dyDescent="0.35">
      <c r="A312" s="2"/>
      <c r="B312" s="53" t="s">
        <v>623</v>
      </c>
      <c r="C312" s="8"/>
      <c r="D312" s="1"/>
      <c r="E312" s="1"/>
      <c r="H312" s="78" t="b">
        <v>1</v>
      </c>
      <c r="I312" s="66" t="b">
        <v>0</v>
      </c>
      <c r="J312" s="67"/>
      <c r="K312" s="67"/>
      <c r="L312" s="67"/>
      <c r="M312" s="68"/>
      <c r="N312" s="68"/>
      <c r="O312" s="68"/>
      <c r="P312" s="68"/>
      <c r="Q312" s="68"/>
    </row>
    <row r="313" spans="1:17" x14ac:dyDescent="0.35">
      <c r="A313" s="2"/>
      <c r="B313" s="53" t="s">
        <v>624</v>
      </c>
      <c r="C313" s="8"/>
      <c r="D313" s="1"/>
      <c r="E313" s="1"/>
      <c r="H313" s="66" t="b">
        <v>1</v>
      </c>
      <c r="I313" s="78" t="b">
        <v>0</v>
      </c>
      <c r="J313" s="67"/>
      <c r="K313" s="67"/>
      <c r="L313" s="67"/>
      <c r="M313" s="68"/>
      <c r="N313" s="68"/>
      <c r="O313" s="68"/>
      <c r="P313" s="68"/>
      <c r="Q313" s="68"/>
    </row>
    <row r="314" spans="1:17" x14ac:dyDescent="0.35">
      <c r="A314" s="2"/>
      <c r="B314" s="53" t="s">
        <v>625</v>
      </c>
      <c r="C314" s="8"/>
      <c r="D314" s="1"/>
      <c r="E314" s="1"/>
      <c r="H314" s="66">
        <v>30</v>
      </c>
      <c r="I314" s="66">
        <v>60</v>
      </c>
      <c r="J314" s="78">
        <v>90</v>
      </c>
      <c r="K314" s="66">
        <v>120</v>
      </c>
      <c r="L314" s="66">
        <v>180</v>
      </c>
      <c r="M314" s="69">
        <v>270</v>
      </c>
      <c r="N314" s="69">
        <v>365</v>
      </c>
      <c r="O314" s="69">
        <v>550</v>
      </c>
      <c r="P314" s="69">
        <v>730</v>
      </c>
      <c r="Q314" s="68"/>
    </row>
    <row r="315" spans="1:17" x14ac:dyDescent="0.35">
      <c r="A315" s="2"/>
      <c r="B315" s="53" t="s">
        <v>626</v>
      </c>
      <c r="C315" s="8"/>
      <c r="D315" s="1"/>
      <c r="E315" s="1"/>
      <c r="H315" s="16">
        <v>100</v>
      </c>
      <c r="I315" s="67"/>
      <c r="J315" s="67"/>
      <c r="K315" s="67"/>
      <c r="L315" s="67"/>
      <c r="M315" s="68"/>
      <c r="N315" s="68"/>
      <c r="O315" s="68"/>
      <c r="P315" s="68"/>
      <c r="Q315" s="68"/>
    </row>
    <row r="316" spans="1:17" x14ac:dyDescent="0.35">
      <c r="A316" s="2"/>
      <c r="B316" s="1"/>
      <c r="C316" s="8"/>
      <c r="D316" s="1"/>
      <c r="E316" s="1"/>
      <c r="H316" s="67"/>
      <c r="I316" s="67"/>
      <c r="J316" s="67"/>
      <c r="K316" s="67"/>
      <c r="L316" s="67"/>
      <c r="M316" s="68"/>
      <c r="N316" s="68"/>
      <c r="O316" s="68"/>
      <c r="P316" s="68"/>
      <c r="Q316" s="68"/>
    </row>
    <row r="317" spans="1:17" ht="15" thickBot="1" x14ac:dyDescent="0.4">
      <c r="A317" s="10" t="s">
        <v>627</v>
      </c>
      <c r="B317" s="11" t="s">
        <v>4</v>
      </c>
      <c r="C317" s="12" t="s">
        <v>5</v>
      </c>
      <c r="D317" s="11" t="s">
        <v>6</v>
      </c>
      <c r="E317" s="14" t="s">
        <v>7</v>
      </c>
      <c r="H317" s="67"/>
      <c r="I317" s="67"/>
      <c r="J317" s="67"/>
      <c r="K317" s="67"/>
      <c r="L317" s="67"/>
      <c r="M317" s="68"/>
      <c r="N317" s="68"/>
      <c r="O317" s="68"/>
      <c r="P317" s="68"/>
      <c r="Q317" s="68"/>
    </row>
    <row r="318" spans="1:17" ht="15" thickTop="1" x14ac:dyDescent="0.35">
      <c r="A318" s="2" t="s">
        <v>81</v>
      </c>
      <c r="B318" s="53" t="s">
        <v>82</v>
      </c>
      <c r="C318" s="8"/>
      <c r="D318" s="6"/>
      <c r="E318" s="1"/>
      <c r="H318" s="67"/>
      <c r="I318" s="67"/>
      <c r="J318" s="67"/>
      <c r="K318" s="67"/>
      <c r="L318" s="67"/>
      <c r="M318" s="68"/>
      <c r="N318" s="68"/>
      <c r="O318" s="68"/>
      <c r="P318" s="68"/>
      <c r="Q318" s="68"/>
    </row>
    <row r="319" spans="1:17" x14ac:dyDescent="0.35">
      <c r="A319" s="2" t="s">
        <v>628</v>
      </c>
      <c r="B319" s="53" t="s">
        <v>629</v>
      </c>
      <c r="C319" s="8"/>
      <c r="D319" s="1"/>
      <c r="E319" s="1"/>
      <c r="H319" s="66" t="s">
        <v>521</v>
      </c>
      <c r="I319" s="66" t="s">
        <v>522</v>
      </c>
      <c r="J319" s="66" t="s">
        <v>630</v>
      </c>
      <c r="K319" s="66" t="s">
        <v>631</v>
      </c>
      <c r="L319" s="67"/>
      <c r="M319" s="68"/>
      <c r="N319" s="68"/>
      <c r="O319" s="68"/>
      <c r="P319" s="68"/>
      <c r="Q319" s="68"/>
    </row>
    <row r="320" spans="1:17" x14ac:dyDescent="0.35">
      <c r="A320" s="2" t="s">
        <v>632</v>
      </c>
      <c r="B320" s="53" t="s">
        <v>633</v>
      </c>
      <c r="C320" s="8"/>
      <c r="D320" s="1"/>
      <c r="E320" s="1"/>
      <c r="H320" s="67"/>
      <c r="I320" s="67"/>
      <c r="J320" s="67"/>
      <c r="K320" s="67"/>
      <c r="L320" s="67"/>
      <c r="M320" s="68"/>
      <c r="N320" s="68"/>
      <c r="O320" s="68"/>
      <c r="P320" s="68"/>
      <c r="Q320" s="68"/>
    </row>
    <row r="321" spans="1:17" x14ac:dyDescent="0.35">
      <c r="A321" s="32" t="s">
        <v>634</v>
      </c>
      <c r="B321" s="33" t="s">
        <v>635</v>
      </c>
      <c r="C321" s="28"/>
      <c r="D321" s="1"/>
      <c r="E321" s="1"/>
      <c r="H321" s="67"/>
      <c r="I321" s="67"/>
      <c r="J321" s="67"/>
      <c r="K321" s="67"/>
      <c r="L321" s="67"/>
      <c r="M321" s="68"/>
      <c r="N321" s="68"/>
      <c r="O321" s="68"/>
      <c r="P321" s="68"/>
      <c r="Q321" s="68"/>
    </row>
    <row r="322" spans="1:17" x14ac:dyDescent="0.35">
      <c r="A322" s="2" t="s">
        <v>636</v>
      </c>
      <c r="B322" s="1"/>
      <c r="C322" s="8"/>
      <c r="D322" s="1"/>
      <c r="E322" s="1"/>
      <c r="H322" s="67"/>
      <c r="I322" s="67"/>
      <c r="J322" s="67"/>
      <c r="K322" s="67"/>
      <c r="L322" s="67"/>
      <c r="M322" s="68"/>
      <c r="N322" s="68"/>
      <c r="O322" s="68"/>
      <c r="P322" s="68"/>
      <c r="Q322" s="68"/>
    </row>
    <row r="323" spans="1:17" x14ac:dyDescent="0.35">
      <c r="A323" s="2"/>
      <c r="B323" s="1"/>
      <c r="C323" s="8"/>
      <c r="D323" s="1"/>
      <c r="E323" s="1"/>
      <c r="H323" s="67"/>
      <c r="I323" s="67"/>
      <c r="J323" s="67"/>
      <c r="K323" s="67"/>
      <c r="L323" s="67"/>
      <c r="M323" s="68"/>
      <c r="N323" s="68"/>
      <c r="O323" s="68"/>
      <c r="P323" s="68"/>
      <c r="Q323" s="68"/>
    </row>
    <row r="324" spans="1:17" ht="15" thickBot="1" x14ac:dyDescent="0.4">
      <c r="A324" s="10" t="s">
        <v>608</v>
      </c>
      <c r="B324" s="11" t="s">
        <v>4</v>
      </c>
      <c r="C324" s="12" t="s">
        <v>5</v>
      </c>
      <c r="D324" s="11" t="s">
        <v>6</v>
      </c>
      <c r="E324" s="14" t="s">
        <v>7</v>
      </c>
      <c r="H324" s="67"/>
      <c r="I324" s="67"/>
      <c r="J324" s="67"/>
      <c r="K324" s="67"/>
      <c r="L324" s="67"/>
      <c r="M324" s="68"/>
      <c r="N324" s="68"/>
      <c r="O324" s="68"/>
      <c r="P324" s="68"/>
      <c r="Q324" s="68"/>
    </row>
    <row r="325" spans="1:17" ht="15" thickTop="1" x14ac:dyDescent="0.35">
      <c r="A325" s="2" t="s">
        <v>81</v>
      </c>
      <c r="B325" s="53" t="s">
        <v>82</v>
      </c>
      <c r="C325" s="8"/>
      <c r="D325" s="6"/>
      <c r="E325" s="1"/>
      <c r="H325" s="67"/>
      <c r="I325" s="67"/>
      <c r="J325" s="67"/>
      <c r="K325" s="67"/>
      <c r="L325" s="67"/>
      <c r="M325" s="68"/>
      <c r="N325" s="68"/>
      <c r="O325" s="68"/>
      <c r="P325" s="68"/>
      <c r="Q325" s="68"/>
    </row>
    <row r="326" spans="1:17" x14ac:dyDescent="0.35">
      <c r="A326" s="2"/>
      <c r="B326" s="53" t="s">
        <v>464</v>
      </c>
      <c r="C326" s="8"/>
      <c r="D326" s="1"/>
      <c r="E326" s="1"/>
      <c r="H326" s="66" t="s">
        <v>637</v>
      </c>
      <c r="I326" s="66" t="s">
        <v>285</v>
      </c>
      <c r="J326" s="66" t="s">
        <v>131</v>
      </c>
      <c r="K326" s="79" t="s">
        <v>638</v>
      </c>
      <c r="L326" s="66" t="s">
        <v>639</v>
      </c>
      <c r="M326" s="69" t="s">
        <v>640</v>
      </c>
      <c r="N326" s="69" t="s">
        <v>641</v>
      </c>
      <c r="O326" s="68"/>
      <c r="P326" s="68"/>
      <c r="Q326" s="68"/>
    </row>
    <row r="327" spans="1:17" x14ac:dyDescent="0.35">
      <c r="A327" s="2"/>
      <c r="B327" s="53" t="s">
        <v>642</v>
      </c>
      <c r="C327" s="8"/>
      <c r="D327" s="1"/>
      <c r="E327" s="1"/>
      <c r="H327" s="66" t="b">
        <v>1</v>
      </c>
      <c r="I327" s="66" t="b">
        <v>0</v>
      </c>
      <c r="J327" s="67"/>
      <c r="K327" s="67"/>
      <c r="L327" s="67"/>
      <c r="M327" s="68"/>
      <c r="N327" s="68"/>
      <c r="O327" s="68"/>
      <c r="P327" s="68"/>
      <c r="Q327" s="68"/>
    </row>
    <row r="328" spans="1:17" x14ac:dyDescent="0.35">
      <c r="A328" s="2"/>
      <c r="B328" s="53" t="s">
        <v>643</v>
      </c>
      <c r="C328" s="8"/>
      <c r="D328" s="1"/>
      <c r="E328" s="1"/>
      <c r="H328" s="72" t="s">
        <v>644</v>
      </c>
      <c r="I328" s="67"/>
      <c r="J328" s="67"/>
      <c r="K328" s="67"/>
      <c r="L328" s="67"/>
      <c r="M328" s="68"/>
      <c r="N328" s="68"/>
      <c r="O328" s="68"/>
      <c r="P328" s="68"/>
      <c r="Q328" s="68"/>
    </row>
    <row r="329" spans="1:17" x14ac:dyDescent="0.35">
      <c r="A329" s="2"/>
      <c r="B329" s="53" t="s">
        <v>645</v>
      </c>
      <c r="C329" s="8"/>
      <c r="D329" s="1"/>
      <c r="E329" s="1"/>
      <c r="H329" s="66" t="b">
        <v>1</v>
      </c>
      <c r="I329" s="66" t="b">
        <v>0</v>
      </c>
      <c r="J329" s="67"/>
      <c r="K329" s="67"/>
      <c r="L329" s="67"/>
      <c r="M329" s="68"/>
      <c r="N329" s="68"/>
      <c r="O329" s="68"/>
      <c r="P329" s="68"/>
      <c r="Q329" s="68"/>
    </row>
    <row r="330" spans="1:17" x14ac:dyDescent="0.35">
      <c r="A330" s="2"/>
      <c r="B330" s="53" t="s">
        <v>625</v>
      </c>
      <c r="C330" s="8"/>
      <c r="D330" s="1"/>
      <c r="E330" s="1"/>
      <c r="H330" s="67" t="s">
        <v>646</v>
      </c>
      <c r="I330" s="67"/>
      <c r="J330" s="67"/>
      <c r="K330" s="67"/>
      <c r="L330" s="67"/>
      <c r="M330" s="68"/>
      <c r="N330" s="68"/>
      <c r="O330" s="68"/>
      <c r="P330" s="68"/>
      <c r="Q330" s="68"/>
    </row>
    <row r="331" spans="1:17" x14ac:dyDescent="0.35">
      <c r="A331" s="2"/>
      <c r="B331" s="53" t="s">
        <v>622</v>
      </c>
      <c r="C331" s="8"/>
      <c r="D331" s="1"/>
      <c r="E331" s="1"/>
      <c r="H331" s="78" t="b">
        <v>1</v>
      </c>
      <c r="I331" s="66" t="b">
        <v>0</v>
      </c>
      <c r="J331" s="67"/>
      <c r="K331" s="67"/>
      <c r="L331" s="67"/>
      <c r="M331" s="68"/>
      <c r="N331" s="68"/>
      <c r="O331" s="68"/>
      <c r="P331" s="68"/>
      <c r="Q331" s="68"/>
    </row>
    <row r="332" spans="1:17" x14ac:dyDescent="0.35">
      <c r="A332" s="2"/>
      <c r="B332" s="53" t="s">
        <v>623</v>
      </c>
      <c r="C332" s="8"/>
      <c r="D332" s="1"/>
      <c r="E332" s="1"/>
      <c r="H332" s="78" t="b">
        <v>1</v>
      </c>
      <c r="I332" s="66" t="b">
        <v>0</v>
      </c>
      <c r="J332" s="67"/>
      <c r="K332" s="67"/>
      <c r="L332" s="67"/>
      <c r="M332" s="68"/>
      <c r="N332" s="68"/>
      <c r="O332" s="68"/>
      <c r="P332" s="68"/>
      <c r="Q332" s="68"/>
    </row>
    <row r="333" spans="1:17" x14ac:dyDescent="0.35">
      <c r="A333" s="2"/>
      <c r="B333" s="53" t="s">
        <v>647</v>
      </c>
      <c r="C333" s="8"/>
      <c r="D333" s="1"/>
      <c r="E333" s="1"/>
      <c r="H333" s="67"/>
      <c r="I333" s="67"/>
      <c r="J333" s="67"/>
      <c r="K333" s="67"/>
      <c r="L333" s="67"/>
      <c r="M333" s="68"/>
      <c r="N333" s="68"/>
      <c r="O333" s="68"/>
      <c r="P333" s="68"/>
      <c r="Q333" s="68"/>
    </row>
    <row r="334" spans="1:17" x14ac:dyDescent="0.35">
      <c r="A334" s="2" t="s">
        <v>106</v>
      </c>
      <c r="B334" s="53" t="s">
        <v>474</v>
      </c>
      <c r="C334" s="8"/>
      <c r="D334" s="1"/>
      <c r="E334" s="1"/>
      <c r="H334" s="67"/>
      <c r="I334" s="67"/>
      <c r="J334" s="67"/>
      <c r="K334" s="67"/>
      <c r="L334" s="67"/>
      <c r="M334" s="68"/>
      <c r="N334" s="68"/>
      <c r="O334" s="68"/>
      <c r="P334" s="68"/>
      <c r="Q334" s="68"/>
    </row>
    <row r="335" spans="1:17" x14ac:dyDescent="0.35">
      <c r="A335" s="2"/>
      <c r="B335" s="1"/>
      <c r="C335" s="8"/>
      <c r="D335" s="1"/>
      <c r="E335" s="1"/>
      <c r="H335" s="67"/>
      <c r="I335" s="67"/>
      <c r="J335" s="67"/>
      <c r="K335" s="67"/>
      <c r="L335" s="67"/>
      <c r="M335" s="68"/>
      <c r="N335" s="68"/>
      <c r="O335" s="68"/>
      <c r="P335" s="68"/>
      <c r="Q335" s="68"/>
    </row>
    <row r="336" spans="1:17" ht="15" thickBot="1" x14ac:dyDescent="0.4">
      <c r="A336" s="10" t="s">
        <v>648</v>
      </c>
      <c r="B336" s="11" t="s">
        <v>4</v>
      </c>
      <c r="C336" s="12" t="s">
        <v>5</v>
      </c>
      <c r="D336" s="11" t="s">
        <v>6</v>
      </c>
      <c r="E336" s="14" t="s">
        <v>7</v>
      </c>
      <c r="H336" s="67"/>
      <c r="I336" s="67"/>
      <c r="J336" s="67"/>
      <c r="K336" s="67"/>
      <c r="L336" s="67"/>
      <c r="M336" s="68"/>
      <c r="N336" s="68"/>
      <c r="O336" s="68"/>
      <c r="P336" s="68"/>
      <c r="Q336" s="68"/>
    </row>
    <row r="337" spans="1:17" ht="15" thickTop="1" x14ac:dyDescent="0.35">
      <c r="A337" s="2" t="s">
        <v>81</v>
      </c>
      <c r="B337" s="53" t="s">
        <v>82</v>
      </c>
      <c r="C337" s="8"/>
      <c r="D337" s="6"/>
      <c r="E337" s="1"/>
      <c r="H337" s="67"/>
      <c r="I337" s="67"/>
      <c r="J337" s="67"/>
      <c r="K337" s="67"/>
      <c r="L337" s="67"/>
      <c r="M337" s="68"/>
      <c r="N337" s="68"/>
      <c r="O337" s="68"/>
      <c r="P337" s="68"/>
      <c r="Q337" s="68"/>
    </row>
    <row r="338" spans="1:17" x14ac:dyDescent="0.35">
      <c r="A338" s="2" t="s">
        <v>649</v>
      </c>
      <c r="B338" s="53" t="s">
        <v>473</v>
      </c>
      <c r="C338" s="8"/>
      <c r="D338" s="1"/>
      <c r="E338" s="1"/>
      <c r="H338" s="66" t="b">
        <v>1</v>
      </c>
      <c r="I338" s="66" t="b">
        <v>0</v>
      </c>
      <c r="J338" s="67"/>
      <c r="K338" s="67"/>
      <c r="L338" s="67"/>
      <c r="M338" s="68"/>
      <c r="N338" s="68"/>
      <c r="O338" s="68"/>
      <c r="P338" s="68"/>
      <c r="Q338" s="68"/>
    </row>
    <row r="339" spans="1:17" x14ac:dyDescent="0.35">
      <c r="A339" s="2"/>
      <c r="B339" s="1"/>
      <c r="C339" s="8"/>
      <c r="D339" s="1"/>
      <c r="E339" s="1"/>
      <c r="H339" s="67"/>
      <c r="I339" s="67"/>
      <c r="J339" s="67"/>
      <c r="K339" s="67"/>
      <c r="L339" s="67"/>
      <c r="M339" s="68"/>
      <c r="N339" s="68"/>
      <c r="O339" s="68"/>
      <c r="P339" s="68"/>
      <c r="Q339" s="68"/>
    </row>
    <row r="340" spans="1:17" ht="15" thickBot="1" x14ac:dyDescent="0.4">
      <c r="A340" s="10" t="s">
        <v>650</v>
      </c>
      <c r="B340" s="11" t="s">
        <v>4</v>
      </c>
      <c r="C340" s="12" t="s">
        <v>5</v>
      </c>
      <c r="D340" s="11" t="s">
        <v>6</v>
      </c>
      <c r="E340" s="14" t="s">
        <v>7</v>
      </c>
      <c r="H340" s="67"/>
      <c r="I340" s="67"/>
      <c r="J340" s="67"/>
      <c r="K340" s="67"/>
      <c r="L340" s="67"/>
      <c r="M340" s="68"/>
      <c r="N340" s="68"/>
      <c r="O340" s="68"/>
      <c r="P340" s="68"/>
      <c r="Q340" s="68"/>
    </row>
    <row r="341" spans="1:17" ht="15" thickTop="1" x14ac:dyDescent="0.35">
      <c r="A341" s="2" t="s">
        <v>81</v>
      </c>
      <c r="B341" s="53" t="s">
        <v>82</v>
      </c>
      <c r="C341" s="8"/>
      <c r="D341" s="6"/>
      <c r="E341" s="1"/>
      <c r="H341" s="67"/>
      <c r="I341" s="67"/>
      <c r="J341" s="67"/>
      <c r="K341" s="67"/>
      <c r="L341" s="67"/>
      <c r="M341" s="68"/>
      <c r="N341" s="68"/>
      <c r="O341" s="68"/>
      <c r="P341" s="68"/>
      <c r="Q341" s="68"/>
    </row>
    <row r="342" spans="1:17" x14ac:dyDescent="0.35">
      <c r="A342" s="2" t="s">
        <v>651</v>
      </c>
      <c r="B342" s="53" t="s">
        <v>464</v>
      </c>
      <c r="C342" s="8"/>
      <c r="D342" s="1"/>
      <c r="E342" s="1"/>
      <c r="H342" s="78" t="s">
        <v>131</v>
      </c>
      <c r="I342" s="66" t="s">
        <v>652</v>
      </c>
      <c r="J342" s="67"/>
      <c r="K342" s="67"/>
      <c r="L342" s="67"/>
      <c r="M342" s="68"/>
      <c r="N342" s="68"/>
      <c r="O342" s="68"/>
      <c r="P342" s="68"/>
      <c r="Q342" s="68"/>
    </row>
    <row r="343" spans="1:17" x14ac:dyDescent="0.35">
      <c r="A343" s="2" t="s">
        <v>653</v>
      </c>
      <c r="B343" s="53" t="s">
        <v>654</v>
      </c>
      <c r="C343" s="8"/>
      <c r="D343" s="1"/>
      <c r="E343" s="1"/>
      <c r="H343" s="66">
        <v>9</v>
      </c>
      <c r="I343" s="66">
        <v>10</v>
      </c>
      <c r="J343" s="67"/>
      <c r="K343" s="67"/>
      <c r="L343" s="67"/>
      <c r="M343" s="68"/>
      <c r="N343" s="68"/>
      <c r="O343" s="68"/>
      <c r="P343" s="68"/>
      <c r="Q343" s="68"/>
    </row>
    <row r="344" spans="1:17" x14ac:dyDescent="0.35">
      <c r="A344" s="2" t="s">
        <v>516</v>
      </c>
      <c r="B344" s="53" t="s">
        <v>471</v>
      </c>
      <c r="C344" s="8"/>
      <c r="D344" s="1"/>
      <c r="E344" s="1"/>
      <c r="H344" s="66" t="b">
        <v>1</v>
      </c>
      <c r="I344" s="66" t="b">
        <v>0</v>
      </c>
      <c r="J344" s="67"/>
      <c r="K344" s="67"/>
      <c r="L344" s="67"/>
      <c r="M344" s="68"/>
      <c r="N344" s="68"/>
      <c r="O344" s="68"/>
      <c r="P344" s="68"/>
      <c r="Q344" s="68"/>
    </row>
    <row r="345" spans="1:17" x14ac:dyDescent="0.35">
      <c r="A345" s="2" t="s">
        <v>655</v>
      </c>
      <c r="B345" s="1"/>
      <c r="C345" s="8"/>
      <c r="D345" s="1"/>
      <c r="E345" s="1"/>
      <c r="H345" s="67"/>
      <c r="I345" s="67"/>
      <c r="J345" s="67"/>
      <c r="K345" s="67"/>
      <c r="L345" s="67"/>
      <c r="M345" s="68"/>
      <c r="N345" s="68"/>
      <c r="O345" s="68"/>
      <c r="P345" s="68"/>
      <c r="Q345" s="68"/>
    </row>
    <row r="346" spans="1:17" x14ac:dyDescent="0.35">
      <c r="A346" s="2" t="s">
        <v>656</v>
      </c>
      <c r="B346" s="53" t="s">
        <v>657</v>
      </c>
      <c r="C346" s="8"/>
      <c r="D346" s="1"/>
      <c r="E346" s="1"/>
      <c r="H346" s="66" t="b">
        <v>1</v>
      </c>
      <c r="I346" s="66" t="b">
        <v>0</v>
      </c>
      <c r="J346" s="67"/>
      <c r="K346" s="67"/>
      <c r="L346" s="67"/>
      <c r="M346" s="68"/>
      <c r="N346" s="68"/>
      <c r="O346" s="68"/>
      <c r="P346" s="68"/>
      <c r="Q346" s="68"/>
    </row>
    <row r="347" spans="1:17" x14ac:dyDescent="0.35">
      <c r="A347" s="2" t="s">
        <v>658</v>
      </c>
      <c r="B347" s="53" t="s">
        <v>659</v>
      </c>
      <c r="C347" s="8"/>
      <c r="D347" s="1"/>
      <c r="E347" s="1"/>
      <c r="H347" s="66" t="b">
        <v>1</v>
      </c>
      <c r="I347" s="66" t="b">
        <v>0</v>
      </c>
      <c r="J347" s="67"/>
      <c r="K347" s="67"/>
      <c r="L347" s="67"/>
      <c r="M347" s="68"/>
      <c r="N347" s="68"/>
      <c r="O347" s="68"/>
      <c r="P347" s="68"/>
      <c r="Q347" s="68"/>
    </row>
    <row r="348" spans="1:17" x14ac:dyDescent="0.35">
      <c r="A348" s="2" t="s">
        <v>649</v>
      </c>
      <c r="B348" s="53" t="s">
        <v>473</v>
      </c>
      <c r="C348" s="8"/>
      <c r="D348" s="1"/>
      <c r="E348" s="1"/>
      <c r="H348" s="66" t="b">
        <v>1</v>
      </c>
      <c r="I348" s="66" t="b">
        <v>0</v>
      </c>
      <c r="J348" s="67"/>
      <c r="K348" s="67"/>
      <c r="L348" s="67"/>
      <c r="M348" s="68"/>
      <c r="N348" s="68"/>
      <c r="O348" s="68"/>
      <c r="P348" s="68"/>
      <c r="Q348" s="68"/>
    </row>
    <row r="349" spans="1:17" x14ac:dyDescent="0.35">
      <c r="A349" s="2"/>
      <c r="B349" s="53" t="s">
        <v>660</v>
      </c>
      <c r="C349" s="8"/>
      <c r="D349" s="1"/>
      <c r="E349" s="1"/>
      <c r="H349" s="67"/>
      <c r="I349" s="67"/>
      <c r="J349" s="67"/>
      <c r="K349" s="67"/>
      <c r="L349" s="67"/>
      <c r="M349" s="68"/>
      <c r="N349" s="68"/>
      <c r="O349" s="68"/>
      <c r="P349" s="68"/>
      <c r="Q349" s="68"/>
    </row>
    <row r="350" spans="1:17" x14ac:dyDescent="0.35">
      <c r="A350" s="2" t="s">
        <v>106</v>
      </c>
      <c r="B350" s="53" t="s">
        <v>474</v>
      </c>
      <c r="C350" s="8"/>
      <c r="D350" s="1"/>
      <c r="E350" s="1"/>
      <c r="H350" s="67"/>
      <c r="I350" s="67"/>
      <c r="J350" s="67"/>
      <c r="K350" s="67"/>
      <c r="L350" s="67"/>
      <c r="M350" s="68"/>
      <c r="N350" s="68"/>
      <c r="O350" s="68"/>
      <c r="P350" s="68"/>
      <c r="Q350" s="68"/>
    </row>
    <row r="351" spans="1:17" x14ac:dyDescent="0.35">
      <c r="A351" s="2"/>
      <c r="B351" s="1"/>
      <c r="C351" s="8"/>
      <c r="D351" s="1"/>
      <c r="E351" s="1"/>
      <c r="H351" s="67"/>
      <c r="I351" s="67"/>
      <c r="J351" s="67"/>
      <c r="K351" s="67"/>
      <c r="L351" s="67"/>
      <c r="M351" s="68"/>
      <c r="N351" s="68"/>
      <c r="O351" s="68"/>
      <c r="P351" s="68"/>
      <c r="Q351" s="68"/>
    </row>
    <row r="352" spans="1:17" ht="15" thickBot="1" x14ac:dyDescent="0.4">
      <c r="A352" s="10" t="s">
        <v>661</v>
      </c>
      <c r="B352" s="11" t="s">
        <v>4</v>
      </c>
      <c r="C352" s="12" t="s">
        <v>5</v>
      </c>
      <c r="D352" s="11" t="s">
        <v>6</v>
      </c>
      <c r="E352" s="14" t="s">
        <v>7</v>
      </c>
      <c r="H352" s="67"/>
      <c r="I352" s="67"/>
      <c r="J352" s="67"/>
      <c r="K352" s="67"/>
      <c r="L352" s="67"/>
      <c r="M352" s="68"/>
      <c r="N352" s="68"/>
      <c r="O352" s="68"/>
      <c r="P352" s="68"/>
      <c r="Q352" s="68"/>
    </row>
    <row r="353" spans="1:17" ht="15" thickTop="1" x14ac:dyDescent="0.35">
      <c r="A353" s="2" t="s">
        <v>81</v>
      </c>
      <c r="B353" s="53" t="s">
        <v>82</v>
      </c>
      <c r="C353" s="8"/>
      <c r="D353" s="6"/>
      <c r="E353" s="1"/>
      <c r="H353" s="67"/>
      <c r="I353" s="67"/>
      <c r="J353" s="67"/>
      <c r="K353" s="67"/>
      <c r="L353" s="67"/>
      <c r="M353" s="68"/>
      <c r="N353" s="68"/>
      <c r="O353" s="68"/>
      <c r="P353" s="68"/>
      <c r="Q353" s="68"/>
    </row>
    <row r="354" spans="1:17" x14ac:dyDescent="0.35">
      <c r="A354" s="2" t="s">
        <v>662</v>
      </c>
      <c r="B354" s="53" t="s">
        <v>663</v>
      </c>
      <c r="C354" s="8"/>
      <c r="D354" s="1"/>
      <c r="E354" s="1"/>
      <c r="H354" s="66" t="s">
        <v>177</v>
      </c>
      <c r="I354" s="66" t="s">
        <v>269</v>
      </c>
      <c r="J354" s="67"/>
      <c r="K354" s="67"/>
      <c r="L354" s="67"/>
      <c r="M354" s="68"/>
      <c r="N354" s="68"/>
      <c r="O354" s="68"/>
      <c r="P354" s="68"/>
      <c r="Q354" s="68"/>
    </row>
    <row r="355" spans="1:17" x14ac:dyDescent="0.35">
      <c r="A355" s="2" t="s">
        <v>129</v>
      </c>
      <c r="B355" s="53" t="s">
        <v>464</v>
      </c>
      <c r="C355" s="8"/>
      <c r="D355" s="1"/>
      <c r="E355" s="1"/>
      <c r="H355" s="66" t="s">
        <v>465</v>
      </c>
      <c r="I355" s="78" t="s">
        <v>131</v>
      </c>
      <c r="J355" s="67"/>
      <c r="K355" s="67"/>
      <c r="L355" s="67"/>
      <c r="M355" s="68"/>
      <c r="N355" s="68"/>
      <c r="O355" s="68"/>
      <c r="P355" s="68"/>
      <c r="Q355" s="68"/>
    </row>
    <row r="356" spans="1:17" x14ac:dyDescent="0.35">
      <c r="A356" s="2" t="s">
        <v>664</v>
      </c>
      <c r="B356" s="53" t="s">
        <v>316</v>
      </c>
      <c r="C356" s="8"/>
      <c r="D356" s="1"/>
      <c r="E356" s="1"/>
      <c r="H356" s="78" t="s">
        <v>665</v>
      </c>
      <c r="I356" s="66" t="s">
        <v>666</v>
      </c>
      <c r="J356" s="67"/>
      <c r="K356" s="67"/>
      <c r="L356" s="67"/>
      <c r="M356" s="68"/>
      <c r="N356" s="68"/>
      <c r="O356" s="68"/>
      <c r="P356" s="68"/>
      <c r="Q356" s="68"/>
    </row>
    <row r="357" spans="1:17" x14ac:dyDescent="0.35">
      <c r="A357" s="2" t="s">
        <v>667</v>
      </c>
      <c r="B357" s="53" t="s">
        <v>668</v>
      </c>
      <c r="C357" s="8"/>
      <c r="D357" s="1"/>
      <c r="E357" s="1"/>
      <c r="H357" s="78" t="s">
        <v>669</v>
      </c>
      <c r="I357" s="66" t="s">
        <v>670</v>
      </c>
      <c r="J357" s="67"/>
      <c r="K357" s="67"/>
      <c r="L357" s="67"/>
      <c r="M357" s="68"/>
      <c r="N357" s="68"/>
      <c r="O357" s="68"/>
      <c r="P357" s="68"/>
      <c r="Q357" s="68"/>
    </row>
    <row r="358" spans="1:17" x14ac:dyDescent="0.35">
      <c r="A358" s="2" t="s">
        <v>671</v>
      </c>
      <c r="B358" s="53" t="s">
        <v>672</v>
      </c>
      <c r="C358" s="8"/>
      <c r="D358" s="1"/>
      <c r="E358" s="1"/>
      <c r="H358" s="70" t="s">
        <v>673</v>
      </c>
      <c r="I358" s="67"/>
      <c r="J358" s="67"/>
      <c r="K358" s="67"/>
      <c r="L358" s="67"/>
      <c r="M358" s="68"/>
      <c r="N358" s="68"/>
      <c r="O358" s="68"/>
      <c r="P358" s="68"/>
      <c r="Q358" s="68"/>
    </row>
    <row r="359" spans="1:17" x14ac:dyDescent="0.35">
      <c r="A359" s="2" t="s">
        <v>674</v>
      </c>
      <c r="B359" s="53" t="s">
        <v>427</v>
      </c>
      <c r="C359" s="8"/>
      <c r="D359" s="1"/>
      <c r="E359" s="1"/>
      <c r="H359" s="70" t="s">
        <v>428</v>
      </c>
      <c r="I359" s="67"/>
      <c r="J359" s="67"/>
      <c r="K359" s="67"/>
      <c r="L359" s="67"/>
      <c r="M359" s="68"/>
      <c r="N359" s="68"/>
      <c r="O359" s="68"/>
      <c r="P359" s="68"/>
      <c r="Q359" s="68"/>
    </row>
    <row r="360" spans="1:17" x14ac:dyDescent="0.35">
      <c r="A360" s="2" t="s">
        <v>675</v>
      </c>
      <c r="B360" s="1"/>
      <c r="C360" s="8"/>
      <c r="D360" s="1"/>
      <c r="E360" s="1"/>
      <c r="H360" s="67"/>
      <c r="I360" s="67"/>
      <c r="J360" s="67"/>
      <c r="K360" s="67"/>
      <c r="L360" s="67"/>
      <c r="M360" s="68"/>
      <c r="N360" s="68"/>
      <c r="O360" s="68"/>
      <c r="P360" s="68"/>
      <c r="Q360" s="68"/>
    </row>
    <row r="361" spans="1:17" x14ac:dyDescent="0.35">
      <c r="A361" s="2"/>
      <c r="B361" s="1"/>
      <c r="C361" s="8"/>
      <c r="D361" s="1"/>
      <c r="E361" s="1"/>
      <c r="H361" s="67"/>
      <c r="I361" s="67"/>
      <c r="J361" s="67"/>
      <c r="K361" s="67"/>
      <c r="L361" s="67"/>
      <c r="M361" s="68"/>
      <c r="N361" s="68"/>
      <c r="O361" s="68"/>
      <c r="P361" s="68"/>
      <c r="Q361" s="68"/>
    </row>
    <row r="362" spans="1:17" ht="15" thickBot="1" x14ac:dyDescent="0.4">
      <c r="A362" s="10" t="s">
        <v>397</v>
      </c>
      <c r="B362" s="11" t="s">
        <v>4</v>
      </c>
      <c r="C362" s="12" t="s">
        <v>5</v>
      </c>
      <c r="D362" s="11" t="s">
        <v>6</v>
      </c>
      <c r="E362" s="14" t="s">
        <v>7</v>
      </c>
      <c r="H362" s="67"/>
      <c r="I362" s="67"/>
      <c r="J362" s="67"/>
      <c r="K362" s="67"/>
      <c r="L362" s="67"/>
      <c r="M362" s="68"/>
      <c r="N362" s="68"/>
      <c r="O362" s="68"/>
      <c r="P362" s="68"/>
      <c r="Q362" s="68"/>
    </row>
    <row r="363" spans="1:17" ht="15" thickTop="1" x14ac:dyDescent="0.35">
      <c r="A363" s="2" t="s">
        <v>68</v>
      </c>
      <c r="B363" s="1"/>
      <c r="C363" s="8"/>
      <c r="D363" s="6"/>
      <c r="E363" s="1"/>
      <c r="H363" s="67"/>
      <c r="I363" s="67"/>
      <c r="J363" s="67"/>
      <c r="K363" s="67"/>
      <c r="L363" s="67"/>
      <c r="M363" s="68"/>
      <c r="N363" s="68"/>
      <c r="O363" s="68"/>
      <c r="P363" s="68"/>
      <c r="Q363" s="68"/>
    </row>
    <row r="364" spans="1:17" x14ac:dyDescent="0.35">
      <c r="A364" s="2" t="s">
        <v>676</v>
      </c>
      <c r="B364" s="1"/>
      <c r="C364" s="8"/>
      <c r="D364" s="1"/>
      <c r="E364" s="1"/>
      <c r="H364" s="67" t="s">
        <v>677</v>
      </c>
      <c r="I364" s="67" t="s">
        <v>502</v>
      </c>
      <c r="J364" s="67"/>
      <c r="K364" s="67"/>
      <c r="L364" s="67"/>
      <c r="M364" s="68"/>
      <c r="N364" s="68"/>
      <c r="O364" s="68"/>
      <c r="P364" s="68"/>
      <c r="Q364" s="68"/>
    </row>
    <row r="365" spans="1:17" x14ac:dyDescent="0.35">
      <c r="A365" s="2" t="s">
        <v>678</v>
      </c>
      <c r="B365" s="1"/>
      <c r="C365" s="8"/>
      <c r="D365" s="1"/>
      <c r="E365" s="1"/>
      <c r="H365" s="67"/>
      <c r="I365" s="67"/>
      <c r="J365" s="67"/>
      <c r="K365" s="67"/>
      <c r="L365" s="67"/>
      <c r="M365" s="68"/>
      <c r="N365" s="68"/>
      <c r="O365" s="68"/>
      <c r="P365" s="68"/>
      <c r="Q365" s="68"/>
    </row>
    <row r="366" spans="1:17" x14ac:dyDescent="0.35">
      <c r="A366" s="2" t="s">
        <v>679</v>
      </c>
      <c r="B366" s="1"/>
      <c r="C366" s="8"/>
      <c r="D366" s="1"/>
      <c r="E366" s="1"/>
      <c r="H366" s="67"/>
      <c r="I366" s="67"/>
      <c r="J366" s="67"/>
      <c r="K366" s="67"/>
      <c r="L366" s="67"/>
      <c r="M366" s="68"/>
      <c r="N366" s="68"/>
      <c r="O366" s="68"/>
      <c r="P366" s="68"/>
      <c r="Q366" s="68"/>
    </row>
    <row r="367" spans="1:17" x14ac:dyDescent="0.35">
      <c r="A367" s="2" t="s">
        <v>680</v>
      </c>
      <c r="B367" s="1"/>
      <c r="C367" s="8"/>
      <c r="D367" s="1"/>
      <c r="E367" s="1"/>
      <c r="H367" s="67"/>
      <c r="I367" s="67"/>
      <c r="J367" s="67"/>
      <c r="K367" s="67"/>
      <c r="L367" s="67"/>
      <c r="M367" s="68"/>
      <c r="N367" s="68"/>
      <c r="O367" s="68"/>
      <c r="P367" s="68"/>
      <c r="Q367" s="68"/>
    </row>
    <row r="368" spans="1:17" x14ac:dyDescent="0.35">
      <c r="A368" s="2" t="s">
        <v>681</v>
      </c>
      <c r="B368" s="1"/>
      <c r="C368" s="8"/>
      <c r="D368" s="1"/>
      <c r="E368" s="1"/>
      <c r="H368" s="67"/>
      <c r="I368" s="67"/>
      <c r="J368" s="67"/>
      <c r="K368" s="67"/>
      <c r="L368" s="67"/>
      <c r="M368" s="68"/>
      <c r="N368" s="68"/>
      <c r="O368" s="68"/>
      <c r="P368" s="68"/>
      <c r="Q368" s="68"/>
    </row>
    <row r="369" spans="1:17" x14ac:dyDescent="0.35">
      <c r="A369" s="2" t="s">
        <v>129</v>
      </c>
      <c r="B369" s="1"/>
      <c r="C369" s="8"/>
      <c r="D369" s="1"/>
      <c r="E369" s="1"/>
      <c r="H369" s="67" t="s">
        <v>131</v>
      </c>
      <c r="I369" s="67" t="s">
        <v>682</v>
      </c>
      <c r="J369" s="67" t="s">
        <v>465</v>
      </c>
      <c r="K369" s="67"/>
      <c r="L369" s="67"/>
      <c r="M369" s="68"/>
      <c r="N369" s="68"/>
      <c r="O369" s="68"/>
      <c r="P369" s="68"/>
      <c r="Q369" s="68"/>
    </row>
    <row r="370" spans="1:17" x14ac:dyDescent="0.35">
      <c r="A370" s="2" t="s">
        <v>664</v>
      </c>
      <c r="B370" s="1"/>
      <c r="C370" s="8"/>
      <c r="D370" s="1"/>
      <c r="E370" s="1"/>
      <c r="H370" s="67" t="s">
        <v>665</v>
      </c>
      <c r="I370" s="67" t="s">
        <v>666</v>
      </c>
      <c r="J370" s="67"/>
      <c r="K370" s="67"/>
      <c r="L370" s="67"/>
      <c r="M370" s="68"/>
      <c r="N370" s="68"/>
      <c r="O370" s="68"/>
      <c r="P370" s="68"/>
      <c r="Q370" s="68"/>
    </row>
    <row r="371" spans="1:17" x14ac:dyDescent="0.35">
      <c r="A371" s="2" t="s">
        <v>683</v>
      </c>
      <c r="B371" s="1"/>
      <c r="C371" s="8"/>
      <c r="D371" s="1"/>
      <c r="E371" s="1"/>
      <c r="H371" s="67"/>
      <c r="I371" s="67"/>
      <c r="J371" s="67"/>
      <c r="K371" s="67"/>
      <c r="L371" s="67"/>
      <c r="M371" s="68"/>
      <c r="N371" s="68"/>
      <c r="O371" s="68"/>
      <c r="P371" s="68"/>
      <c r="Q371" s="68"/>
    </row>
    <row r="372" spans="1:17" x14ac:dyDescent="0.35">
      <c r="A372" s="2" t="s">
        <v>684</v>
      </c>
      <c r="B372" s="1"/>
      <c r="C372" s="8"/>
      <c r="D372" s="1"/>
      <c r="E372" s="1"/>
      <c r="H372" s="67"/>
      <c r="I372" s="67"/>
      <c r="J372" s="67"/>
      <c r="K372" s="67"/>
      <c r="L372" s="67"/>
      <c r="M372" s="68"/>
      <c r="N372" s="68"/>
      <c r="O372" s="68"/>
      <c r="P372" s="68"/>
      <c r="Q372" s="68"/>
    </row>
    <row r="373" spans="1:17" x14ac:dyDescent="0.35">
      <c r="A373" s="2" t="s">
        <v>33</v>
      </c>
      <c r="B373" s="1"/>
      <c r="C373" s="8"/>
      <c r="D373" s="1"/>
      <c r="E373" s="1"/>
      <c r="H373" s="67"/>
      <c r="I373" s="67"/>
      <c r="J373" s="67"/>
      <c r="K373" s="67"/>
      <c r="L373" s="67"/>
      <c r="M373" s="68"/>
      <c r="N373" s="68"/>
      <c r="O373" s="68"/>
      <c r="P373" s="68"/>
      <c r="Q373" s="68"/>
    </row>
    <row r="374" spans="1:17" x14ac:dyDescent="0.35">
      <c r="A374" s="2"/>
      <c r="B374" s="1"/>
      <c r="C374" s="8"/>
      <c r="D374" s="1"/>
      <c r="H374" s="67"/>
      <c r="I374" s="67"/>
      <c r="J374" s="67"/>
      <c r="K374" s="67"/>
      <c r="L374" s="67"/>
      <c r="M374" s="68"/>
      <c r="N374" s="68"/>
      <c r="O374" s="68"/>
      <c r="P374" s="68"/>
      <c r="Q374" s="68"/>
    </row>
    <row r="375" spans="1:17" ht="15" thickBot="1" x14ac:dyDescent="0.4">
      <c r="A375" s="10" t="s">
        <v>685</v>
      </c>
      <c r="B375" s="11" t="s">
        <v>4</v>
      </c>
      <c r="C375" s="12" t="s">
        <v>5</v>
      </c>
      <c r="D375" s="11" t="s">
        <v>6</v>
      </c>
      <c r="E375" s="14" t="s">
        <v>7</v>
      </c>
      <c r="H375" s="67"/>
      <c r="I375" s="67"/>
      <c r="J375" s="67"/>
      <c r="K375" s="67"/>
      <c r="L375" s="67"/>
      <c r="M375" s="68"/>
      <c r="N375" s="68"/>
      <c r="O375" s="68"/>
      <c r="P375" s="68"/>
      <c r="Q375" s="68"/>
    </row>
    <row r="376" spans="1:17" ht="15" thickTop="1" x14ac:dyDescent="0.35">
      <c r="A376" s="2" t="s">
        <v>81</v>
      </c>
      <c r="B376" s="1" t="s">
        <v>82</v>
      </c>
      <c r="C376" s="8"/>
      <c r="D376" s="6"/>
      <c r="E376" s="1"/>
      <c r="H376" s="67"/>
      <c r="I376" s="67"/>
      <c r="J376" s="67"/>
      <c r="K376" s="67"/>
      <c r="L376" s="67"/>
      <c r="M376" s="68"/>
      <c r="N376" s="68"/>
      <c r="O376" s="68"/>
      <c r="P376" s="68"/>
      <c r="Q376" s="68"/>
    </row>
    <row r="377" spans="1:17" x14ac:dyDescent="0.35">
      <c r="A377" s="2" t="s">
        <v>686</v>
      </c>
      <c r="B377" s="1" t="s">
        <v>687</v>
      </c>
      <c r="C377" s="8"/>
      <c r="D377" s="1"/>
      <c r="E377" s="1"/>
      <c r="H377" s="73">
        <v>12</v>
      </c>
      <c r="I377" s="67"/>
      <c r="J377" s="67"/>
      <c r="K377" s="67"/>
      <c r="L377" s="67"/>
      <c r="M377" s="68"/>
      <c r="N377" s="68"/>
      <c r="O377" s="68"/>
      <c r="P377" s="68"/>
      <c r="Q377" s="68"/>
    </row>
    <row r="378" spans="1:17" x14ac:dyDescent="0.35">
      <c r="A378" s="2" t="s">
        <v>688</v>
      </c>
      <c r="B378" s="1" t="s">
        <v>689</v>
      </c>
      <c r="C378" s="8"/>
      <c r="D378" s="1"/>
      <c r="E378" s="1"/>
      <c r="H378" s="67" t="s">
        <v>248</v>
      </c>
      <c r="I378" s="67"/>
      <c r="J378" s="67"/>
      <c r="K378" s="67"/>
      <c r="L378" s="67"/>
      <c r="M378" s="68"/>
      <c r="N378" s="68"/>
      <c r="O378" s="68"/>
      <c r="P378" s="68"/>
      <c r="Q378" s="68"/>
    </row>
    <row r="379" spans="1:17" x14ac:dyDescent="0.35">
      <c r="A379" s="2" t="s">
        <v>690</v>
      </c>
      <c r="B379" s="1" t="s">
        <v>691</v>
      </c>
      <c r="C379" s="8"/>
      <c r="D379" s="1"/>
      <c r="E379" s="1"/>
      <c r="H379" s="67">
        <v>1.2</v>
      </c>
      <c r="I379" s="67"/>
      <c r="J379" s="67"/>
      <c r="K379" s="67"/>
      <c r="L379" s="67"/>
      <c r="M379" s="68"/>
      <c r="N379" s="68"/>
      <c r="O379" s="68"/>
      <c r="P379" s="68"/>
      <c r="Q379" s="68"/>
    </row>
    <row r="380" spans="1:17" x14ac:dyDescent="0.35">
      <c r="A380" s="2" t="s">
        <v>692</v>
      </c>
      <c r="B380" s="1" t="s">
        <v>693</v>
      </c>
      <c r="C380" s="8"/>
      <c r="D380" s="1"/>
      <c r="E380" s="1"/>
      <c r="H380" s="67" t="s">
        <v>694</v>
      </c>
      <c r="I380" s="67"/>
      <c r="J380" s="67"/>
      <c r="K380" s="67"/>
      <c r="L380" s="67"/>
      <c r="M380" s="68"/>
      <c r="N380" s="68"/>
      <c r="O380" s="68"/>
      <c r="P380" s="68"/>
      <c r="Q380" s="68"/>
    </row>
    <row r="381" spans="1:17" ht="29" x14ac:dyDescent="0.35">
      <c r="A381" s="2" t="s">
        <v>695</v>
      </c>
      <c r="B381" s="1" t="s">
        <v>696</v>
      </c>
      <c r="C381" s="8"/>
      <c r="D381" s="1"/>
      <c r="E381" s="1"/>
      <c r="H381" s="67" t="b">
        <v>0</v>
      </c>
      <c r="I381" s="67"/>
      <c r="J381" s="67"/>
      <c r="K381" s="67"/>
      <c r="L381" s="67"/>
      <c r="M381" s="68"/>
      <c r="N381" s="68"/>
      <c r="O381" s="68"/>
      <c r="P381" s="68"/>
      <c r="Q381" s="68"/>
    </row>
    <row r="382" spans="1:17" x14ac:dyDescent="0.35">
      <c r="A382" s="2" t="s">
        <v>134</v>
      </c>
      <c r="B382" s="1" t="s">
        <v>697</v>
      </c>
      <c r="C382" s="8"/>
      <c r="D382" s="1"/>
      <c r="E382" s="1"/>
      <c r="H382" s="67" t="b">
        <v>0</v>
      </c>
      <c r="I382" s="67"/>
      <c r="J382" s="67"/>
      <c r="K382" s="67"/>
      <c r="L382" s="67"/>
      <c r="M382" s="68"/>
      <c r="N382" s="68"/>
      <c r="O382" s="68"/>
      <c r="P382" s="68"/>
      <c r="Q382" s="68"/>
    </row>
    <row r="383" spans="1:17" x14ac:dyDescent="0.35">
      <c r="A383" s="2" t="s">
        <v>698</v>
      </c>
      <c r="B383" s="1" t="s">
        <v>699</v>
      </c>
      <c r="C383" s="8"/>
      <c r="D383" s="1"/>
      <c r="E383" s="1"/>
      <c r="H383" s="67" t="b">
        <v>0</v>
      </c>
      <c r="I383" s="67"/>
      <c r="J383" s="67"/>
      <c r="K383" s="67"/>
      <c r="L383" s="67"/>
      <c r="M383" s="68"/>
      <c r="N383" s="68"/>
      <c r="O383" s="68"/>
      <c r="P383" s="68"/>
      <c r="Q383" s="68"/>
    </row>
    <row r="384" spans="1:17" x14ac:dyDescent="0.35">
      <c r="A384" s="2" t="s">
        <v>700</v>
      </c>
      <c r="B384" s="1" t="s">
        <v>701</v>
      </c>
      <c r="C384" s="8"/>
      <c r="D384" s="1"/>
      <c r="E384" s="1"/>
      <c r="H384" s="67"/>
      <c r="I384" s="67"/>
      <c r="J384" s="67"/>
      <c r="K384" s="67"/>
      <c r="L384" s="67"/>
      <c r="M384" s="68"/>
      <c r="N384" s="68"/>
      <c r="O384" s="68"/>
      <c r="P384" s="68"/>
      <c r="Q384" s="68"/>
    </row>
    <row r="385" spans="1:17" x14ac:dyDescent="0.35">
      <c r="A385" s="2" t="s">
        <v>702</v>
      </c>
      <c r="B385" s="1" t="s">
        <v>703</v>
      </c>
      <c r="C385" s="8"/>
      <c r="D385" s="1"/>
      <c r="E385" s="1"/>
      <c r="H385" s="66" t="s">
        <v>162</v>
      </c>
      <c r="I385" s="66" t="s">
        <v>246</v>
      </c>
      <c r="J385" s="66" t="s">
        <v>247</v>
      </c>
      <c r="K385" s="67"/>
      <c r="L385" s="67"/>
      <c r="M385" s="68"/>
      <c r="N385" s="68"/>
      <c r="O385" s="68"/>
      <c r="P385" s="68"/>
      <c r="Q385" s="68"/>
    </row>
    <row r="386" spans="1:17" x14ac:dyDescent="0.35">
      <c r="A386" s="2"/>
      <c r="B386" s="1"/>
      <c r="C386" s="8"/>
      <c r="D386" s="1"/>
      <c r="H386" s="67"/>
      <c r="I386" s="67"/>
      <c r="J386" s="67"/>
      <c r="K386" s="67"/>
      <c r="L386" s="67"/>
      <c r="M386" s="68"/>
      <c r="N386" s="68"/>
      <c r="O386" s="68"/>
      <c r="P386" s="68"/>
      <c r="Q386" s="68"/>
    </row>
    <row r="387" spans="1:17" ht="15" thickBot="1" x14ac:dyDescent="0.4">
      <c r="A387" s="10" t="s">
        <v>704</v>
      </c>
      <c r="B387" s="11" t="s">
        <v>4</v>
      </c>
      <c r="C387" s="12" t="s">
        <v>5</v>
      </c>
      <c r="D387" s="11" t="s">
        <v>6</v>
      </c>
      <c r="E387" s="14" t="s">
        <v>7</v>
      </c>
      <c r="H387" s="67"/>
      <c r="I387" s="67"/>
      <c r="J387" s="67"/>
      <c r="K387" s="67"/>
      <c r="L387" s="67"/>
      <c r="M387" s="68"/>
      <c r="N387" s="68"/>
      <c r="O387" s="68"/>
      <c r="P387" s="68"/>
      <c r="Q387" s="68"/>
    </row>
    <row r="388" spans="1:17" ht="15" thickTop="1" x14ac:dyDescent="0.35">
      <c r="A388" s="2" t="s">
        <v>68</v>
      </c>
      <c r="B388" s="2"/>
      <c r="C388" s="8"/>
      <c r="D388" s="6"/>
      <c r="E388" s="1"/>
      <c r="H388" s="67"/>
      <c r="I388" s="67"/>
      <c r="J388" s="67"/>
      <c r="K388" s="67"/>
      <c r="L388" s="67"/>
      <c r="M388" s="68"/>
      <c r="N388" s="68"/>
      <c r="O388" s="68"/>
      <c r="P388" s="68"/>
      <c r="Q388" s="68"/>
    </row>
    <row r="389" spans="1:17" x14ac:dyDescent="0.35">
      <c r="A389" s="2" t="s">
        <v>129</v>
      </c>
      <c r="B389" s="4" t="s">
        <v>705</v>
      </c>
      <c r="C389" s="8"/>
      <c r="D389" s="1"/>
      <c r="E389" s="1"/>
      <c r="H389" s="66" t="s">
        <v>706</v>
      </c>
      <c r="I389" s="66" t="s">
        <v>707</v>
      </c>
      <c r="J389" s="66" t="s">
        <v>708</v>
      </c>
      <c r="K389" s="66" t="s">
        <v>709</v>
      </c>
      <c r="L389" s="66" t="s">
        <v>465</v>
      </c>
      <c r="M389" s="69" t="s">
        <v>710</v>
      </c>
      <c r="N389" s="69" t="s">
        <v>711</v>
      </c>
      <c r="O389" s="69" t="s">
        <v>712</v>
      </c>
      <c r="P389" s="69" t="s">
        <v>713</v>
      </c>
      <c r="Q389" s="68"/>
    </row>
    <row r="390" spans="1:17" x14ac:dyDescent="0.35">
      <c r="A390" s="2" t="s">
        <v>714</v>
      </c>
      <c r="B390" s="4" t="s">
        <v>715</v>
      </c>
      <c r="C390" s="8"/>
      <c r="D390" s="1"/>
      <c r="E390" s="1"/>
      <c r="H390" s="67" t="s">
        <v>716</v>
      </c>
      <c r="I390" s="67"/>
      <c r="J390" s="67"/>
      <c r="K390" s="67"/>
      <c r="L390" s="67"/>
      <c r="M390" s="68"/>
      <c r="N390" s="68"/>
      <c r="O390" s="68"/>
      <c r="P390" s="68"/>
      <c r="Q390" s="68"/>
    </row>
    <row r="391" spans="1:17" x14ac:dyDescent="0.35">
      <c r="A391" s="2" t="s">
        <v>717</v>
      </c>
      <c r="B391" s="4" t="s">
        <v>718</v>
      </c>
      <c r="C391" s="8"/>
      <c r="D391" s="1"/>
      <c r="E391" s="1"/>
      <c r="H391" s="66" t="s">
        <v>719</v>
      </c>
      <c r="I391" s="78" t="s">
        <v>248</v>
      </c>
      <c r="J391" s="66" t="s">
        <v>720</v>
      </c>
      <c r="K391" s="66" t="s">
        <v>721</v>
      </c>
      <c r="L391" s="66" t="s">
        <v>722</v>
      </c>
      <c r="M391" s="66" t="s">
        <v>723</v>
      </c>
      <c r="N391" s="66" t="s">
        <v>724</v>
      </c>
      <c r="O391" s="66" t="s">
        <v>725</v>
      </c>
      <c r="P391" s="66" t="s">
        <v>726</v>
      </c>
      <c r="Q391" s="68"/>
    </row>
    <row r="392" spans="1:17" x14ac:dyDescent="0.35">
      <c r="A392" s="2" t="s">
        <v>727</v>
      </c>
      <c r="B392" s="4" t="s">
        <v>728</v>
      </c>
      <c r="C392" s="8"/>
      <c r="D392" s="1"/>
      <c r="E392" s="1"/>
      <c r="H392" s="66" t="s">
        <v>729</v>
      </c>
      <c r="I392" s="66" t="s">
        <v>730</v>
      </c>
      <c r="J392" s="67"/>
      <c r="K392" s="67"/>
      <c r="L392" s="67"/>
      <c r="M392" s="68"/>
      <c r="N392" s="68"/>
      <c r="O392" s="68"/>
      <c r="P392" s="68"/>
      <c r="Q392" s="68"/>
    </row>
    <row r="393" spans="1:17" x14ac:dyDescent="0.35">
      <c r="A393" s="2" t="s">
        <v>731</v>
      </c>
      <c r="B393" s="4" t="s">
        <v>732</v>
      </c>
      <c r="C393" s="8"/>
      <c r="D393" s="1"/>
      <c r="E393" s="1"/>
      <c r="H393" s="78" t="s">
        <v>733</v>
      </c>
      <c r="I393" s="66" t="s">
        <v>734</v>
      </c>
      <c r="J393" s="66" t="s">
        <v>735</v>
      </c>
      <c r="K393" s="66" t="s">
        <v>736</v>
      </c>
      <c r="L393" s="67"/>
      <c r="M393" s="68"/>
      <c r="N393" s="68"/>
      <c r="O393" s="68"/>
      <c r="P393" s="68"/>
      <c r="Q393" s="68"/>
    </row>
    <row r="394" spans="1:17" x14ac:dyDescent="0.35">
      <c r="A394" s="2" t="s">
        <v>737</v>
      </c>
      <c r="B394" s="4" t="s">
        <v>738</v>
      </c>
      <c r="C394" s="8"/>
      <c r="D394" s="1"/>
      <c r="E394" s="1"/>
      <c r="H394" s="78" t="s">
        <v>739</v>
      </c>
      <c r="I394" s="96" t="s">
        <v>740</v>
      </c>
      <c r="J394" s="67"/>
      <c r="K394" s="67"/>
      <c r="L394" s="67"/>
      <c r="M394" s="68"/>
      <c r="N394" s="68"/>
      <c r="O394" s="68"/>
      <c r="P394" s="68"/>
      <c r="Q394" s="68"/>
    </row>
    <row r="395" spans="1:17" x14ac:dyDescent="0.35">
      <c r="A395" s="2" t="s">
        <v>741</v>
      </c>
      <c r="B395" s="4" t="s">
        <v>742</v>
      </c>
      <c r="C395" s="8"/>
      <c r="D395" s="1"/>
      <c r="E395" s="1"/>
      <c r="H395" s="67">
        <v>2000</v>
      </c>
      <c r="I395" s="67"/>
      <c r="J395" s="67"/>
      <c r="K395" s="67"/>
      <c r="L395" s="67"/>
      <c r="M395" s="68"/>
      <c r="N395" s="68"/>
      <c r="O395" s="68"/>
      <c r="P395" s="68"/>
      <c r="Q395" s="68"/>
    </row>
    <row r="396" spans="1:17" x14ac:dyDescent="0.35">
      <c r="A396" s="2" t="s">
        <v>493</v>
      </c>
      <c r="B396" s="4" t="s">
        <v>743</v>
      </c>
      <c r="C396" s="8"/>
      <c r="D396" s="1"/>
      <c r="E396" s="1"/>
      <c r="H396" s="67">
        <v>0</v>
      </c>
      <c r="I396" s="67"/>
      <c r="J396" s="67"/>
      <c r="K396" s="67"/>
      <c r="L396" s="67"/>
      <c r="M396" s="68"/>
      <c r="N396" s="68"/>
      <c r="O396" s="68"/>
      <c r="P396" s="68"/>
      <c r="Q396" s="68"/>
    </row>
    <row r="397" spans="1:17" x14ac:dyDescent="0.35">
      <c r="A397" s="2" t="s">
        <v>744</v>
      </c>
      <c r="B397" s="4" t="s">
        <v>745</v>
      </c>
      <c r="C397" s="8"/>
      <c r="D397" s="1"/>
      <c r="E397" s="1"/>
      <c r="H397" s="67">
        <v>0</v>
      </c>
      <c r="I397" s="67"/>
      <c r="J397" s="67"/>
      <c r="K397" s="67"/>
      <c r="L397" s="67"/>
      <c r="M397" s="68"/>
      <c r="N397" s="68"/>
      <c r="O397" s="68"/>
      <c r="P397" s="68"/>
      <c r="Q397" s="68"/>
    </row>
    <row r="399" spans="1:17" x14ac:dyDescent="0.35">
      <c r="A399" s="2" t="s">
        <v>746</v>
      </c>
      <c r="B399" s="4" t="s">
        <v>747</v>
      </c>
      <c r="C399" s="8"/>
      <c r="D399" s="1"/>
      <c r="E399" s="1"/>
      <c r="H399" s="66">
        <v>-1</v>
      </c>
      <c r="I399" s="67"/>
      <c r="J399" s="67"/>
      <c r="K399" s="67"/>
      <c r="L399" s="67"/>
      <c r="M399" s="68"/>
      <c r="N399" s="68"/>
      <c r="O399" s="68"/>
      <c r="P399" s="68"/>
      <c r="Q399" s="68"/>
    </row>
    <row r="400" spans="1:17" x14ac:dyDescent="0.35">
      <c r="A400" s="2" t="s">
        <v>748</v>
      </c>
      <c r="B400" s="4" t="s">
        <v>749</v>
      </c>
      <c r="C400" s="8"/>
      <c r="D400" s="1"/>
      <c r="E400" s="1"/>
      <c r="H400" s="78" t="b">
        <v>1</v>
      </c>
      <c r="I400" s="78" t="b">
        <v>0</v>
      </c>
      <c r="J400" s="67"/>
      <c r="K400" s="67"/>
      <c r="L400" s="67"/>
      <c r="M400" s="68"/>
      <c r="N400" s="68"/>
      <c r="O400" s="68"/>
      <c r="P400" s="68"/>
      <c r="Q400" s="68"/>
    </row>
    <row r="401" spans="1:17" x14ac:dyDescent="0.35">
      <c r="A401" s="2" t="s">
        <v>750</v>
      </c>
      <c r="B401" s="4" t="s">
        <v>751</v>
      </c>
      <c r="C401" s="8"/>
      <c r="D401" s="1"/>
      <c r="E401" s="1"/>
      <c r="H401" s="66" t="b">
        <v>1</v>
      </c>
      <c r="I401" s="66" t="b">
        <v>0</v>
      </c>
      <c r="J401" s="67"/>
      <c r="K401" s="67"/>
      <c r="L401" s="67"/>
      <c r="M401" s="68"/>
      <c r="N401" s="68"/>
      <c r="O401" s="68"/>
      <c r="P401" s="68"/>
      <c r="Q401" s="68"/>
    </row>
    <row r="402" spans="1:17" x14ac:dyDescent="0.35">
      <c r="A402" s="2" t="s">
        <v>752</v>
      </c>
      <c r="B402" s="4" t="s">
        <v>753</v>
      </c>
      <c r="C402" s="8"/>
      <c r="D402" s="1"/>
      <c r="E402" s="1"/>
      <c r="H402" s="66" t="b">
        <v>1</v>
      </c>
      <c r="I402" s="66" t="b">
        <v>0</v>
      </c>
      <c r="J402" s="67"/>
      <c r="K402" s="67"/>
      <c r="L402" s="67"/>
      <c r="M402" s="68"/>
      <c r="N402" s="68"/>
      <c r="O402" s="68"/>
      <c r="P402" s="68"/>
      <c r="Q402" s="68"/>
    </row>
    <row r="403" spans="1:17" x14ac:dyDescent="0.35">
      <c r="A403" s="2" t="s">
        <v>754</v>
      </c>
      <c r="B403" s="4" t="s">
        <v>755</v>
      </c>
      <c r="C403" s="8"/>
      <c r="D403" s="1"/>
      <c r="E403" s="1"/>
      <c r="H403" s="78" t="b">
        <v>1</v>
      </c>
      <c r="I403" s="66" t="b">
        <v>0</v>
      </c>
      <c r="J403" s="67"/>
      <c r="K403" s="67"/>
      <c r="L403" s="67"/>
      <c r="M403" s="68"/>
      <c r="N403" s="68"/>
      <c r="O403" s="68"/>
      <c r="P403" s="68"/>
      <c r="Q403" s="68"/>
    </row>
    <row r="404" spans="1:17" ht="29" x14ac:dyDescent="0.35">
      <c r="A404" s="2" t="s">
        <v>756</v>
      </c>
      <c r="B404" s="4" t="s">
        <v>757</v>
      </c>
      <c r="C404" s="8"/>
      <c r="D404" s="1"/>
      <c r="E404" s="1"/>
      <c r="H404" s="78" t="b">
        <v>1</v>
      </c>
      <c r="I404" s="66" t="b">
        <v>0</v>
      </c>
      <c r="J404" s="67"/>
      <c r="K404" s="67"/>
      <c r="L404" s="67"/>
      <c r="M404" s="68"/>
      <c r="N404" s="68"/>
      <c r="O404" s="68"/>
      <c r="P404" s="68"/>
      <c r="Q404" s="68"/>
    </row>
    <row r="405" spans="1:17" x14ac:dyDescent="0.35">
      <c r="A405" s="2" t="s">
        <v>758</v>
      </c>
      <c r="B405" s="4" t="s">
        <v>759</v>
      </c>
      <c r="C405" s="8"/>
      <c r="D405" s="1"/>
      <c r="E405" s="1"/>
      <c r="H405" s="78" t="s">
        <v>760</v>
      </c>
      <c r="I405" s="66" t="s">
        <v>761</v>
      </c>
      <c r="J405" s="66" t="s">
        <v>762</v>
      </c>
      <c r="K405" s="66" t="s">
        <v>763</v>
      </c>
      <c r="L405" s="66" t="s">
        <v>764</v>
      </c>
      <c r="M405" s="68"/>
      <c r="N405" s="68"/>
      <c r="O405" s="68"/>
      <c r="P405" s="68"/>
      <c r="Q405" s="68"/>
    </row>
    <row r="406" spans="1:17" x14ac:dyDescent="0.35">
      <c r="A406" s="2" t="s">
        <v>765</v>
      </c>
      <c r="B406" s="4" t="s">
        <v>766</v>
      </c>
      <c r="C406" s="8"/>
      <c r="D406" s="1"/>
      <c r="E406" s="1"/>
      <c r="H406" s="78" t="s">
        <v>760</v>
      </c>
      <c r="I406" s="66" t="s">
        <v>761</v>
      </c>
      <c r="J406" s="66" t="s">
        <v>762</v>
      </c>
      <c r="K406" s="66" t="s">
        <v>763</v>
      </c>
      <c r="L406" s="66" t="s">
        <v>764</v>
      </c>
      <c r="M406" s="68"/>
      <c r="N406" s="68"/>
      <c r="O406" s="68"/>
      <c r="P406" s="68"/>
      <c r="Q406" s="68"/>
    </row>
    <row r="407" spans="1:17" x14ac:dyDescent="0.35">
      <c r="A407" s="2" t="s">
        <v>767</v>
      </c>
      <c r="B407" s="4" t="s">
        <v>768</v>
      </c>
      <c r="C407" s="8"/>
      <c r="D407" s="1"/>
      <c r="E407" s="1"/>
      <c r="H407" s="78" t="s">
        <v>760</v>
      </c>
      <c r="I407" s="66" t="s">
        <v>761</v>
      </c>
      <c r="J407" s="66" t="s">
        <v>762</v>
      </c>
      <c r="K407" s="66" t="s">
        <v>763</v>
      </c>
      <c r="L407" s="66" t="s">
        <v>764</v>
      </c>
      <c r="M407" s="68"/>
      <c r="N407" s="68"/>
      <c r="O407" s="68"/>
      <c r="P407" s="68"/>
      <c r="Q407" s="68"/>
    </row>
    <row r="408" spans="1:17" x14ac:dyDescent="0.35">
      <c r="A408" s="2" t="s">
        <v>769</v>
      </c>
      <c r="B408" s="4" t="s">
        <v>770</v>
      </c>
      <c r="C408" s="8"/>
      <c r="D408" s="1"/>
      <c r="E408" s="1"/>
      <c r="H408" s="70" t="s">
        <v>771</v>
      </c>
      <c r="I408" s="67"/>
      <c r="J408" s="67"/>
      <c r="K408" s="67"/>
      <c r="L408" s="67"/>
      <c r="M408" s="68"/>
      <c r="N408" s="68"/>
      <c r="O408" s="68"/>
      <c r="P408" s="68"/>
      <c r="Q408" s="68"/>
    </row>
    <row r="409" spans="1:17" x14ac:dyDescent="0.35">
      <c r="A409" s="2" t="s">
        <v>772</v>
      </c>
      <c r="B409" s="4" t="s">
        <v>773</v>
      </c>
      <c r="C409" s="8"/>
      <c r="D409" s="1"/>
      <c r="E409" s="1"/>
      <c r="H409" s="78">
        <v>12</v>
      </c>
      <c r="I409" s="66">
        <v>24</v>
      </c>
      <c r="J409" s="67"/>
      <c r="K409" s="67"/>
      <c r="L409" s="67"/>
      <c r="M409" s="68"/>
      <c r="N409" s="68"/>
      <c r="O409" s="68"/>
      <c r="P409" s="68"/>
      <c r="Q409" s="68"/>
    </row>
    <row r="410" spans="1:17" x14ac:dyDescent="0.35">
      <c r="A410" s="2" t="s">
        <v>774</v>
      </c>
      <c r="B410" s="4" t="s">
        <v>775</v>
      </c>
      <c r="C410" s="8"/>
      <c r="D410" s="1"/>
      <c r="E410" s="1"/>
      <c r="H410" s="70" t="s">
        <v>776</v>
      </c>
      <c r="I410" s="67"/>
      <c r="J410" s="67"/>
      <c r="K410" s="67"/>
      <c r="L410" s="67"/>
      <c r="M410" s="68"/>
      <c r="N410" s="68"/>
      <c r="O410" s="68"/>
      <c r="P410" s="68"/>
      <c r="Q410" s="68"/>
    </row>
    <row r="411" spans="1:17" x14ac:dyDescent="0.35">
      <c r="A411" s="2"/>
      <c r="B411" s="1"/>
      <c r="C411" s="8"/>
      <c r="D411" s="1"/>
      <c r="H411" s="67"/>
      <c r="I411" s="67"/>
      <c r="J411" s="67"/>
      <c r="K411" s="67"/>
      <c r="L411" s="67"/>
      <c r="M411" s="68"/>
      <c r="N411" s="68"/>
      <c r="O411" s="68"/>
      <c r="P411" s="68"/>
      <c r="Q411" s="68"/>
    </row>
    <row r="412" spans="1:17" ht="15" thickBot="1" x14ac:dyDescent="0.4">
      <c r="A412" s="10" t="s">
        <v>777</v>
      </c>
      <c r="B412" s="11" t="s">
        <v>4</v>
      </c>
      <c r="C412" s="12" t="s">
        <v>5</v>
      </c>
      <c r="D412" s="11" t="s">
        <v>6</v>
      </c>
      <c r="E412" s="14" t="s">
        <v>7</v>
      </c>
      <c r="H412" s="67"/>
      <c r="I412" s="67"/>
      <c r="J412" s="67"/>
      <c r="K412" s="67"/>
      <c r="L412" s="67"/>
      <c r="M412" s="68"/>
      <c r="N412" s="68"/>
      <c r="O412" s="68"/>
      <c r="P412" s="68"/>
      <c r="Q412" s="68"/>
    </row>
    <row r="413" spans="1:17" ht="15" thickTop="1" x14ac:dyDescent="0.35">
      <c r="A413" s="15" t="s">
        <v>81</v>
      </c>
      <c r="B413" s="1" t="s">
        <v>82</v>
      </c>
      <c r="C413" s="8"/>
      <c r="D413" s="6"/>
      <c r="E413" s="1"/>
      <c r="H413" s="67"/>
      <c r="I413" s="67"/>
      <c r="J413" s="67"/>
      <c r="K413" s="67"/>
      <c r="L413" s="67"/>
      <c r="M413" s="68"/>
      <c r="N413" s="68"/>
      <c r="O413" s="68"/>
      <c r="P413" s="68"/>
      <c r="Q413" s="68"/>
    </row>
    <row r="414" spans="1:17" x14ac:dyDescent="0.35">
      <c r="A414" s="15" t="s">
        <v>129</v>
      </c>
      <c r="B414" s="1" t="s">
        <v>130</v>
      </c>
      <c r="C414" s="8"/>
      <c r="D414" s="1"/>
      <c r="E414" s="1"/>
      <c r="H414" s="66" t="s">
        <v>778</v>
      </c>
      <c r="I414" s="66" t="s">
        <v>779</v>
      </c>
      <c r="J414" s="66" t="s">
        <v>780</v>
      </c>
      <c r="K414" s="66" t="s">
        <v>781</v>
      </c>
      <c r="L414" s="67"/>
      <c r="M414" s="68"/>
      <c r="N414" s="68"/>
      <c r="O414" s="68"/>
      <c r="P414" s="68"/>
      <c r="Q414" s="68"/>
    </row>
    <row r="415" spans="1:17" x14ac:dyDescent="0.35">
      <c r="A415" s="15" t="s">
        <v>782</v>
      </c>
      <c r="B415" s="1" t="s">
        <v>783</v>
      </c>
      <c r="C415" s="8"/>
      <c r="D415" s="1"/>
      <c r="E415" s="1"/>
      <c r="H415" s="66">
        <v>8</v>
      </c>
      <c r="I415" s="66">
        <v>16</v>
      </c>
      <c r="J415" s="66">
        <v>24</v>
      </c>
      <c r="K415" s="66">
        <v>32</v>
      </c>
      <c r="L415" s="66">
        <v>40</v>
      </c>
      <c r="M415" s="68"/>
      <c r="N415" s="68"/>
      <c r="O415" s="68"/>
      <c r="P415" s="68"/>
      <c r="Q415" s="68"/>
    </row>
    <row r="416" spans="1:17" x14ac:dyDescent="0.35">
      <c r="A416" s="15" t="s">
        <v>784</v>
      </c>
      <c r="B416" s="1" t="s">
        <v>785</v>
      </c>
      <c r="C416" s="8"/>
      <c r="D416" s="1"/>
      <c r="E416" s="1"/>
      <c r="H416" s="67"/>
      <c r="I416" s="67"/>
      <c r="J416" s="67"/>
      <c r="K416" s="67"/>
      <c r="L416" s="67"/>
      <c r="M416" s="68"/>
      <c r="N416" s="68"/>
      <c r="O416" s="68"/>
      <c r="P416" s="68"/>
      <c r="Q416" s="68"/>
    </row>
    <row r="417" spans="1:17" x14ac:dyDescent="0.35">
      <c r="A417" s="15" t="s">
        <v>727</v>
      </c>
      <c r="B417" s="1" t="s">
        <v>786</v>
      </c>
      <c r="C417" s="8"/>
      <c r="D417" s="1"/>
      <c r="E417" s="1"/>
      <c r="H417" s="66" t="s">
        <v>729</v>
      </c>
      <c r="I417" s="66" t="s">
        <v>730</v>
      </c>
      <c r="J417" s="67"/>
      <c r="K417" s="67"/>
      <c r="L417" s="67"/>
      <c r="M417" s="68"/>
      <c r="N417" s="68"/>
      <c r="O417" s="68"/>
      <c r="P417" s="68"/>
      <c r="Q417" s="68"/>
    </row>
    <row r="418" spans="1:17" x14ac:dyDescent="0.35">
      <c r="A418" s="15" t="s">
        <v>692</v>
      </c>
      <c r="B418" s="1" t="s">
        <v>787</v>
      </c>
      <c r="C418" s="8"/>
      <c r="D418" s="1"/>
      <c r="E418" s="1"/>
      <c r="H418" s="67"/>
      <c r="I418" s="67"/>
      <c r="J418" s="67"/>
      <c r="K418" s="67"/>
      <c r="L418" s="67"/>
      <c r="M418" s="68"/>
      <c r="N418" s="68"/>
      <c r="O418" s="68"/>
      <c r="P418" s="68"/>
      <c r="Q418" s="68"/>
    </row>
    <row r="419" spans="1:17" x14ac:dyDescent="0.35">
      <c r="A419" s="2" t="s">
        <v>64</v>
      </c>
      <c r="B419" s="1" t="s">
        <v>69</v>
      </c>
      <c r="C419" s="8"/>
      <c r="D419" s="1"/>
      <c r="E419" s="1"/>
      <c r="H419" s="67"/>
      <c r="I419" s="67"/>
      <c r="J419" s="67"/>
      <c r="K419" s="67"/>
      <c r="L419" s="67"/>
      <c r="M419" s="68"/>
      <c r="N419" s="68"/>
      <c r="O419" s="68"/>
      <c r="P419" s="68"/>
      <c r="Q419" s="68"/>
    </row>
    <row r="420" spans="1:17" x14ac:dyDescent="0.35">
      <c r="A420" s="2" t="s">
        <v>121</v>
      </c>
      <c r="B420" s="1" t="s">
        <v>122</v>
      </c>
      <c r="C420" s="8"/>
      <c r="D420" s="1"/>
      <c r="E420" s="1"/>
      <c r="H420" s="67"/>
      <c r="I420" s="67"/>
      <c r="J420" s="67"/>
      <c r="K420" s="67"/>
      <c r="L420" s="67"/>
      <c r="M420" s="68"/>
      <c r="N420" s="68"/>
      <c r="O420" s="68"/>
      <c r="P420" s="68"/>
      <c r="Q420" s="68"/>
    </row>
    <row r="421" spans="1:17" x14ac:dyDescent="0.35">
      <c r="A421" s="3" t="s">
        <v>714</v>
      </c>
      <c r="C421" s="16"/>
      <c r="H421" s="67"/>
      <c r="I421" s="67"/>
      <c r="J421" s="67"/>
      <c r="K421" s="67"/>
      <c r="L421" s="67"/>
      <c r="M421" s="68"/>
      <c r="N421" s="68"/>
      <c r="O421" s="68"/>
      <c r="P421" s="68"/>
      <c r="Q421" s="68"/>
    </row>
    <row r="422" spans="1:17" x14ac:dyDescent="0.35">
      <c r="A422" s="3" t="s">
        <v>788</v>
      </c>
      <c r="B422" s="1"/>
      <c r="C422" s="17"/>
      <c r="D422" s="1"/>
      <c r="E422" s="1"/>
      <c r="H422" s="67"/>
      <c r="I422" s="67"/>
      <c r="J422" s="67"/>
      <c r="K422" s="67"/>
      <c r="L422" s="67"/>
      <c r="M422" s="68"/>
      <c r="N422" s="68"/>
      <c r="O422" s="68"/>
      <c r="P422" s="68"/>
      <c r="Q422" s="68"/>
    </row>
    <row r="423" spans="1:17" x14ac:dyDescent="0.35">
      <c r="A423" s="4" t="s">
        <v>690</v>
      </c>
      <c r="C423" s="16"/>
      <c r="H423" s="74">
        <v>1</v>
      </c>
      <c r="I423" s="74">
        <v>1.1000000000000001</v>
      </c>
      <c r="J423" s="74">
        <v>1.2</v>
      </c>
      <c r="K423" s="73"/>
      <c r="L423" s="67"/>
      <c r="M423" s="68"/>
      <c r="N423" s="68"/>
      <c r="O423" s="68"/>
      <c r="P423" s="68"/>
      <c r="Q423" s="68"/>
    </row>
    <row r="424" spans="1:17" x14ac:dyDescent="0.35">
      <c r="A424" s="2" t="s">
        <v>789</v>
      </c>
      <c r="B424" s="1"/>
      <c r="C424" s="17"/>
      <c r="D424" s="1"/>
      <c r="E424" s="1"/>
      <c r="H424" s="67"/>
      <c r="I424" s="67"/>
      <c r="J424" s="67"/>
      <c r="K424" s="67"/>
      <c r="L424" s="67"/>
      <c r="M424" s="68"/>
      <c r="N424" s="68"/>
      <c r="O424" s="68"/>
      <c r="P424" s="68"/>
      <c r="Q424" s="68"/>
    </row>
    <row r="425" spans="1:17" x14ac:dyDescent="0.35">
      <c r="A425" s="2" t="s">
        <v>790</v>
      </c>
      <c r="B425" s="1"/>
      <c r="C425" s="17"/>
      <c r="D425" s="1"/>
      <c r="E425" s="1"/>
      <c r="H425" s="67"/>
      <c r="I425" s="67"/>
      <c r="J425" s="67"/>
      <c r="K425" s="67"/>
      <c r="L425" s="67"/>
      <c r="M425" s="68"/>
      <c r="N425" s="68"/>
      <c r="O425" s="68"/>
      <c r="P425" s="68"/>
      <c r="Q425" s="68"/>
    </row>
    <row r="426" spans="1:17" x14ac:dyDescent="0.35">
      <c r="A426" s="2" t="s">
        <v>731</v>
      </c>
      <c r="B426" s="1" t="s">
        <v>791</v>
      </c>
      <c r="C426" s="17"/>
      <c r="D426" s="1"/>
      <c r="E426" s="1"/>
      <c r="H426" s="66" t="s">
        <v>289</v>
      </c>
      <c r="I426" s="66" t="s">
        <v>288</v>
      </c>
      <c r="J426" s="66" t="s">
        <v>291</v>
      </c>
      <c r="K426" s="67"/>
      <c r="L426" s="67"/>
      <c r="M426" s="68"/>
      <c r="N426" s="68"/>
      <c r="O426" s="68"/>
      <c r="P426" s="68"/>
      <c r="Q426" s="68"/>
    </row>
    <row r="427" spans="1:17" x14ac:dyDescent="0.35">
      <c r="A427" s="2" t="s">
        <v>792</v>
      </c>
      <c r="B427" s="1"/>
      <c r="C427" s="17"/>
      <c r="D427" s="1"/>
      <c r="E427" s="1"/>
      <c r="H427" s="67"/>
      <c r="I427" s="67"/>
      <c r="J427" s="67"/>
      <c r="K427" s="67"/>
      <c r="L427" s="67"/>
      <c r="M427" s="68"/>
      <c r="N427" s="68"/>
      <c r="O427" s="68"/>
      <c r="P427" s="68"/>
      <c r="Q427" s="68"/>
    </row>
    <row r="428" spans="1:17" x14ac:dyDescent="0.35">
      <c r="A428" s="2"/>
      <c r="B428" s="1"/>
      <c r="C428" s="8"/>
      <c r="D428" s="1"/>
      <c r="H428" s="67"/>
      <c r="I428" s="67"/>
      <c r="J428" s="67"/>
      <c r="K428" s="67"/>
      <c r="L428" s="67"/>
      <c r="M428" s="68"/>
      <c r="N428" s="68"/>
      <c r="O428" s="68"/>
      <c r="P428" s="68"/>
      <c r="Q428" s="68"/>
    </row>
    <row r="429" spans="1:17" ht="15" thickBot="1" x14ac:dyDescent="0.4">
      <c r="A429" s="10" t="s">
        <v>793</v>
      </c>
      <c r="B429" s="11" t="s">
        <v>4</v>
      </c>
      <c r="C429" s="12" t="s">
        <v>5</v>
      </c>
      <c r="D429" s="11" t="s">
        <v>6</v>
      </c>
      <c r="E429" s="14" t="s">
        <v>7</v>
      </c>
      <c r="H429" s="67"/>
      <c r="I429" s="67"/>
      <c r="J429" s="67"/>
      <c r="K429" s="67"/>
      <c r="L429" s="67"/>
      <c r="M429" s="68"/>
      <c r="N429" s="68"/>
      <c r="O429" s="68"/>
      <c r="P429" s="68"/>
      <c r="Q429" s="68"/>
    </row>
    <row r="430" spans="1:17" ht="15" thickTop="1" x14ac:dyDescent="0.35">
      <c r="A430" s="2" t="s">
        <v>794</v>
      </c>
      <c r="B430" s="1"/>
      <c r="C430" s="8"/>
      <c r="D430" s="6"/>
      <c r="E430" s="1"/>
      <c r="H430" s="67"/>
      <c r="I430" s="67"/>
      <c r="J430" s="67"/>
      <c r="K430" s="67"/>
      <c r="L430" s="67"/>
      <c r="M430" s="68"/>
      <c r="N430" s="68"/>
      <c r="O430" s="68"/>
      <c r="P430" s="68"/>
      <c r="Q430" s="68"/>
    </row>
    <row r="431" spans="1:17" x14ac:dyDescent="0.35">
      <c r="A431" s="3" t="s">
        <v>795</v>
      </c>
      <c r="B431" s="1"/>
      <c r="C431" s="8"/>
      <c r="D431" s="1"/>
      <c r="E431" s="1"/>
      <c r="H431" s="67"/>
      <c r="I431" s="67"/>
      <c r="J431" s="67"/>
      <c r="K431" s="67"/>
      <c r="L431" s="67"/>
      <c r="M431" s="68"/>
      <c r="N431" s="68"/>
      <c r="O431" s="68"/>
      <c r="P431" s="68"/>
      <c r="Q431" s="68"/>
    </row>
    <row r="432" spans="1:17" x14ac:dyDescent="0.35">
      <c r="A432" s="2" t="s">
        <v>796</v>
      </c>
      <c r="B432" s="1"/>
      <c r="C432" s="8"/>
      <c r="D432" s="1"/>
      <c r="E432" s="1"/>
      <c r="H432" s="67"/>
      <c r="I432" s="67"/>
      <c r="J432" s="67"/>
      <c r="K432" s="67"/>
      <c r="L432" s="67"/>
      <c r="M432" s="68"/>
      <c r="N432" s="68"/>
      <c r="O432" s="68"/>
      <c r="P432" s="68"/>
      <c r="Q432" s="68"/>
    </row>
    <row r="434" spans="1:17" ht="15" thickBot="1" x14ac:dyDescent="0.4">
      <c r="A434" s="10" t="s">
        <v>797</v>
      </c>
      <c r="B434" s="11" t="s">
        <v>4</v>
      </c>
      <c r="C434" s="12" t="s">
        <v>5</v>
      </c>
      <c r="D434" s="11" t="s">
        <v>6</v>
      </c>
      <c r="E434" s="14" t="s">
        <v>7</v>
      </c>
      <c r="H434" s="67"/>
      <c r="I434" s="67"/>
      <c r="J434" s="67"/>
      <c r="K434" s="67"/>
      <c r="L434" s="67"/>
      <c r="M434" s="68"/>
      <c r="N434" s="68"/>
      <c r="O434" s="68"/>
      <c r="P434" s="68"/>
      <c r="Q434" s="68"/>
    </row>
    <row r="435" spans="1:17" ht="15" thickTop="1" x14ac:dyDescent="0.35">
      <c r="A435" s="2" t="s">
        <v>798</v>
      </c>
      <c r="B435" s="1" t="s">
        <v>799</v>
      </c>
      <c r="C435" s="8"/>
      <c r="D435" s="1"/>
      <c r="E435" s="1"/>
      <c r="H435" s="66" t="s">
        <v>800</v>
      </c>
      <c r="I435" s="66" t="s">
        <v>801</v>
      </c>
      <c r="J435" s="67"/>
      <c r="K435" s="67"/>
      <c r="L435" s="67"/>
      <c r="M435" s="68"/>
      <c r="N435" s="68"/>
      <c r="O435" s="68"/>
      <c r="P435" s="68"/>
      <c r="Q435" s="68"/>
    </row>
    <row r="436" spans="1:17" x14ac:dyDescent="0.35">
      <c r="A436" s="2" t="s">
        <v>802</v>
      </c>
      <c r="B436" s="1"/>
      <c r="C436" s="8"/>
      <c r="D436" s="1"/>
      <c r="E436" s="1"/>
      <c r="H436" s="67" t="s">
        <v>75</v>
      </c>
      <c r="I436" s="67" t="s">
        <v>71</v>
      </c>
      <c r="J436" s="67"/>
      <c r="K436" s="67"/>
      <c r="L436" s="67"/>
      <c r="M436" s="68"/>
      <c r="N436" s="68"/>
      <c r="O436" s="68"/>
      <c r="P436" s="68"/>
      <c r="Q436" s="68"/>
    </row>
    <row r="437" spans="1:17" x14ac:dyDescent="0.35">
      <c r="A437" s="2" t="s">
        <v>803</v>
      </c>
      <c r="B437" s="1"/>
      <c r="C437" s="8"/>
      <c r="D437" s="1"/>
      <c r="E437" s="1"/>
      <c r="H437" s="67" t="s">
        <v>75</v>
      </c>
      <c r="I437" s="67" t="s">
        <v>71</v>
      </c>
      <c r="J437" s="67"/>
      <c r="K437" s="67"/>
      <c r="L437" s="67"/>
      <c r="M437" s="68"/>
      <c r="N437" s="68"/>
      <c r="O437" s="68"/>
      <c r="P437" s="68"/>
      <c r="Q437" s="68"/>
    </row>
    <row r="438" spans="1:17" x14ac:dyDescent="0.35">
      <c r="A438" s="2" t="s">
        <v>804</v>
      </c>
      <c r="B438" s="1"/>
      <c r="C438" s="8"/>
      <c r="D438" s="1"/>
      <c r="E438" s="1"/>
      <c r="H438" s="67" t="s">
        <v>75</v>
      </c>
      <c r="I438" s="67" t="s">
        <v>71</v>
      </c>
      <c r="J438" s="67"/>
      <c r="K438" s="67"/>
      <c r="L438" s="67"/>
      <c r="M438" s="68"/>
      <c r="N438" s="68"/>
      <c r="O438" s="68"/>
      <c r="P438" s="68"/>
      <c r="Q438" s="68"/>
    </row>
    <row r="439" spans="1:17" x14ac:dyDescent="0.35">
      <c r="A439" s="2" t="s">
        <v>805</v>
      </c>
      <c r="B439" s="1"/>
      <c r="C439" s="8"/>
      <c r="D439" s="1"/>
      <c r="E439" s="1"/>
      <c r="H439" s="67" t="s">
        <v>75</v>
      </c>
      <c r="I439" s="67" t="s">
        <v>71</v>
      </c>
      <c r="J439" s="67"/>
      <c r="K439" s="67"/>
      <c r="L439" s="67"/>
      <c r="M439" s="68"/>
      <c r="N439" s="68"/>
      <c r="O439" s="68"/>
      <c r="P439" s="68"/>
      <c r="Q439" s="68"/>
    </row>
    <row r="440" spans="1:17" x14ac:dyDescent="0.35">
      <c r="A440" s="2" t="s">
        <v>806</v>
      </c>
      <c r="B440" s="1"/>
      <c r="C440" s="8"/>
      <c r="D440" s="1"/>
      <c r="E440" s="1"/>
      <c r="H440" s="67" t="s">
        <v>75</v>
      </c>
      <c r="I440" s="67" t="s">
        <v>71</v>
      </c>
      <c r="J440" s="67"/>
      <c r="K440" s="67"/>
      <c r="L440" s="67"/>
      <c r="M440" s="68"/>
      <c r="N440" s="68"/>
      <c r="O440" s="68"/>
      <c r="P440" s="68"/>
      <c r="Q440" s="68"/>
    </row>
    <row r="441" spans="1:17" x14ac:dyDescent="0.35">
      <c r="A441" s="2" t="s">
        <v>807</v>
      </c>
      <c r="B441" s="1"/>
      <c r="C441" s="8"/>
      <c r="D441" s="1"/>
      <c r="E441" s="1"/>
      <c r="H441" s="67" t="s">
        <v>75</v>
      </c>
      <c r="I441" s="67" t="s">
        <v>71</v>
      </c>
      <c r="J441" s="67"/>
      <c r="K441" s="67"/>
      <c r="L441" s="67"/>
      <c r="M441" s="68"/>
      <c r="N441" s="68"/>
      <c r="O441" s="68"/>
      <c r="P441" s="68"/>
      <c r="Q441" s="68"/>
    </row>
    <row r="442" spans="1:17" x14ac:dyDescent="0.35">
      <c r="A442" s="2" t="s">
        <v>808</v>
      </c>
      <c r="B442" s="1"/>
      <c r="C442" s="8"/>
      <c r="D442" s="1"/>
      <c r="E442" s="1"/>
      <c r="H442" s="67" t="s">
        <v>75</v>
      </c>
      <c r="I442" s="67" t="s">
        <v>71</v>
      </c>
      <c r="J442" s="67"/>
      <c r="K442" s="67"/>
      <c r="L442" s="67"/>
      <c r="M442" s="68"/>
      <c r="N442" s="68"/>
      <c r="O442" s="68"/>
      <c r="P442" s="68"/>
      <c r="Q442" s="68"/>
    </row>
    <row r="443" spans="1:17" x14ac:dyDescent="0.35">
      <c r="A443" s="2" t="s">
        <v>809</v>
      </c>
      <c r="B443" s="1"/>
      <c r="C443" s="8"/>
      <c r="D443" s="1"/>
      <c r="E443" s="1"/>
      <c r="H443" s="67" t="s">
        <v>75</v>
      </c>
      <c r="I443" s="67" t="s">
        <v>71</v>
      </c>
      <c r="J443" s="67"/>
      <c r="K443" s="67"/>
      <c r="L443" s="67"/>
      <c r="M443" s="68"/>
      <c r="N443" s="68"/>
      <c r="O443" s="68"/>
      <c r="P443" s="68"/>
      <c r="Q443" s="68"/>
    </row>
    <row r="444" spans="1:17" x14ac:dyDescent="0.35">
      <c r="A444" s="2"/>
      <c r="B444" s="1"/>
      <c r="C444" s="8"/>
      <c r="D444" s="1"/>
      <c r="H444" s="67"/>
      <c r="I444" s="67"/>
      <c r="J444" s="67"/>
      <c r="K444" s="67"/>
      <c r="L444" s="67"/>
      <c r="M444" s="68"/>
      <c r="N444" s="68"/>
      <c r="O444" s="68"/>
      <c r="P444" s="68"/>
      <c r="Q444" s="68"/>
    </row>
    <row r="445" spans="1:17" x14ac:dyDescent="0.35">
      <c r="A445" s="18"/>
      <c r="H445" s="67"/>
      <c r="I445" s="67"/>
      <c r="J445" s="67"/>
      <c r="K445" s="67"/>
      <c r="L445" s="67"/>
      <c r="M445" s="68"/>
      <c r="N445" s="68"/>
      <c r="O445" s="68"/>
      <c r="P445" s="68"/>
      <c r="Q445" s="68"/>
    </row>
    <row r="448" spans="1:17" x14ac:dyDescent="0.35">
      <c r="A448" s="22" t="s">
        <v>810</v>
      </c>
      <c r="H448" s="67"/>
      <c r="I448" s="67"/>
      <c r="J448" s="67"/>
      <c r="K448" s="67"/>
      <c r="L448" s="67"/>
      <c r="M448" s="68"/>
      <c r="N448" s="68"/>
      <c r="O448" s="68"/>
      <c r="P448" s="68"/>
      <c r="Q448" s="68"/>
    </row>
    <row r="449" spans="1:17" x14ac:dyDescent="0.35">
      <c r="A449" s="22" t="s">
        <v>811</v>
      </c>
      <c r="H449" s="67"/>
      <c r="I449" s="67"/>
      <c r="J449" s="67"/>
      <c r="K449" s="67"/>
      <c r="L449" s="67"/>
      <c r="M449" s="68"/>
      <c r="N449" s="68"/>
      <c r="O449" s="68"/>
      <c r="P449" s="68"/>
      <c r="Q449" s="68"/>
    </row>
    <row r="450" spans="1:17" x14ac:dyDescent="0.35">
      <c r="A450" s="22" t="s">
        <v>812</v>
      </c>
      <c r="H450" s="67"/>
      <c r="I450" s="67"/>
      <c r="J450" s="67"/>
      <c r="K450" s="67"/>
      <c r="L450" s="67"/>
      <c r="M450" s="68"/>
      <c r="N450" s="68"/>
      <c r="O450" s="68"/>
      <c r="P450" s="68"/>
      <c r="Q450" s="68"/>
    </row>
    <row r="451" spans="1:17" x14ac:dyDescent="0.35">
      <c r="H451" s="67"/>
      <c r="I451" s="67"/>
      <c r="J451" s="67"/>
      <c r="K451" s="67"/>
      <c r="L451" s="67"/>
      <c r="M451" s="68"/>
      <c r="N451" s="68"/>
      <c r="O451" s="68"/>
      <c r="P451" s="68"/>
      <c r="Q451" s="68"/>
    </row>
    <row r="452" spans="1:17" x14ac:dyDescent="0.35">
      <c r="H452" s="67"/>
      <c r="I452" s="67"/>
      <c r="J452" s="67"/>
      <c r="K452" s="67"/>
      <c r="L452" s="67"/>
      <c r="M452" s="68"/>
      <c r="N452" s="68"/>
      <c r="O452" s="68"/>
      <c r="P452" s="68"/>
      <c r="Q452" s="68"/>
    </row>
    <row r="453" spans="1:17" x14ac:dyDescent="0.35">
      <c r="H453" s="67"/>
      <c r="I453" s="67"/>
      <c r="J453" s="67"/>
      <c r="K453" s="67"/>
      <c r="L453" s="67"/>
      <c r="M453" s="68"/>
      <c r="N453" s="68"/>
      <c r="O453" s="68"/>
      <c r="P453" s="68"/>
      <c r="Q453" s="68"/>
    </row>
    <row r="454" spans="1:17" x14ac:dyDescent="0.35">
      <c r="H454" s="67"/>
      <c r="I454" s="67"/>
      <c r="J454" s="67"/>
      <c r="K454" s="67"/>
      <c r="L454" s="67"/>
      <c r="M454" s="68"/>
      <c r="N454" s="68"/>
      <c r="O454" s="68"/>
      <c r="P454" s="68"/>
      <c r="Q454" s="68"/>
    </row>
    <row r="455" spans="1:17" x14ac:dyDescent="0.35">
      <c r="H455" s="67"/>
      <c r="I455" s="67"/>
      <c r="J455" s="67"/>
      <c r="K455" s="67"/>
      <c r="L455" s="67"/>
      <c r="M455" s="68"/>
      <c r="N455" s="68"/>
      <c r="O455" s="68"/>
      <c r="P455" s="68"/>
      <c r="Q455" s="68"/>
    </row>
    <row r="456" spans="1:17" x14ac:dyDescent="0.35">
      <c r="H456" s="67"/>
      <c r="I456" s="67"/>
      <c r="J456" s="67"/>
      <c r="K456" s="67"/>
      <c r="L456" s="67"/>
      <c r="M456" s="68"/>
      <c r="N456" s="68"/>
      <c r="O456" s="68"/>
      <c r="P456" s="68"/>
      <c r="Q456" s="68"/>
    </row>
    <row r="457" spans="1:17" x14ac:dyDescent="0.35">
      <c r="H457" s="67"/>
      <c r="I457" s="67"/>
      <c r="J457" s="67"/>
      <c r="K457" s="67"/>
      <c r="L457" s="67"/>
      <c r="M457" s="68"/>
      <c r="N457" s="68"/>
      <c r="O457" s="68"/>
      <c r="P457" s="68"/>
      <c r="Q457" s="68"/>
    </row>
    <row r="458" spans="1:17" x14ac:dyDescent="0.35">
      <c r="H458" s="67"/>
      <c r="I458" s="67"/>
      <c r="J458" s="67"/>
      <c r="K458" s="67"/>
      <c r="L458" s="67"/>
      <c r="M458" s="68"/>
      <c r="N458" s="68"/>
      <c r="O458" s="68"/>
      <c r="P458" s="68"/>
      <c r="Q458" s="68"/>
    </row>
    <row r="459" spans="1:17" x14ac:dyDescent="0.35">
      <c r="H459" s="67"/>
      <c r="I459" s="67"/>
      <c r="J459" s="67"/>
      <c r="K459" s="67"/>
      <c r="L459" s="67"/>
      <c r="M459" s="68"/>
      <c r="N459" s="68"/>
      <c r="O459" s="68"/>
      <c r="P459" s="68"/>
      <c r="Q459" s="68"/>
    </row>
    <row r="460" spans="1:17" x14ac:dyDescent="0.35">
      <c r="H460" s="67"/>
      <c r="I460" s="67"/>
      <c r="J460" s="67"/>
      <c r="K460" s="67"/>
      <c r="L460" s="67"/>
      <c r="M460" s="68"/>
      <c r="N460" s="68"/>
      <c r="O460" s="68"/>
      <c r="P460" s="68"/>
      <c r="Q460" s="68"/>
    </row>
    <row r="461" spans="1:17" x14ac:dyDescent="0.35">
      <c r="H461" s="67"/>
      <c r="I461" s="67"/>
      <c r="J461" s="67"/>
      <c r="K461" s="67"/>
      <c r="L461" s="67"/>
      <c r="M461" s="68"/>
      <c r="N461" s="68"/>
      <c r="O461" s="68"/>
      <c r="P461" s="68"/>
      <c r="Q461" s="68"/>
    </row>
    <row r="462" spans="1:17" x14ac:dyDescent="0.35">
      <c r="H462" s="67"/>
      <c r="I462" s="67"/>
      <c r="J462" s="67"/>
      <c r="K462" s="67"/>
      <c r="L462" s="67"/>
      <c r="M462" s="68"/>
      <c r="N462" s="68"/>
      <c r="O462" s="68"/>
      <c r="P462" s="68"/>
      <c r="Q462" s="68"/>
    </row>
    <row r="463" spans="1:17" x14ac:dyDescent="0.35">
      <c r="H463" s="67"/>
      <c r="I463" s="67"/>
      <c r="J463" s="67"/>
      <c r="K463" s="67"/>
      <c r="L463" s="67"/>
      <c r="M463" s="68"/>
      <c r="N463" s="68"/>
      <c r="O463" s="68"/>
      <c r="P463" s="68"/>
      <c r="Q463" s="68"/>
    </row>
    <row r="464" spans="1:17" x14ac:dyDescent="0.35">
      <c r="H464" s="67"/>
      <c r="I464" s="67"/>
      <c r="J464" s="67"/>
      <c r="K464" s="67"/>
      <c r="L464" s="67"/>
      <c r="M464" s="68"/>
      <c r="N464" s="68"/>
      <c r="O464" s="68"/>
      <c r="P464" s="68"/>
      <c r="Q464" s="68"/>
    </row>
    <row r="465" spans="8:17" x14ac:dyDescent="0.35">
      <c r="H465" s="67"/>
      <c r="I465" s="67"/>
      <c r="J465" s="67"/>
      <c r="K465" s="67"/>
      <c r="L465" s="67"/>
      <c r="M465" s="68"/>
      <c r="N465" s="68"/>
      <c r="O465" s="68"/>
      <c r="P465" s="68"/>
      <c r="Q465" s="68"/>
    </row>
    <row r="466" spans="8:17" x14ac:dyDescent="0.35">
      <c r="H466" s="67"/>
      <c r="I466" s="67"/>
      <c r="J466" s="67"/>
      <c r="K466" s="67"/>
      <c r="L466" s="67"/>
      <c r="M466" s="68"/>
      <c r="N466" s="68"/>
      <c r="O466" s="68"/>
      <c r="P466" s="68"/>
      <c r="Q466" s="68"/>
    </row>
    <row r="467" spans="8:17" x14ac:dyDescent="0.35">
      <c r="H467" s="67"/>
      <c r="I467" s="67"/>
      <c r="J467" s="67"/>
      <c r="K467" s="67"/>
      <c r="L467" s="67"/>
      <c r="M467" s="68"/>
      <c r="N467" s="68"/>
      <c r="O467" s="68"/>
      <c r="P467" s="68"/>
      <c r="Q467" s="68"/>
    </row>
    <row r="468" spans="8:17" x14ac:dyDescent="0.35">
      <c r="H468" s="67"/>
      <c r="I468" s="67"/>
      <c r="J468" s="67"/>
      <c r="K468" s="67"/>
      <c r="L468" s="67"/>
      <c r="M468" s="68"/>
      <c r="N468" s="68"/>
      <c r="O468" s="68"/>
      <c r="P468" s="68"/>
      <c r="Q468" s="68"/>
    </row>
    <row r="469" spans="8:17" x14ac:dyDescent="0.35">
      <c r="H469" s="67"/>
      <c r="I469" s="67"/>
      <c r="J469" s="67"/>
      <c r="K469" s="67"/>
      <c r="L469" s="67"/>
      <c r="M469" s="68"/>
      <c r="N469" s="68"/>
      <c r="O469" s="68"/>
      <c r="P469" s="68"/>
      <c r="Q469" s="68"/>
    </row>
    <row r="470" spans="8:17" x14ac:dyDescent="0.35">
      <c r="H470" s="67"/>
      <c r="I470" s="67"/>
      <c r="J470" s="67"/>
      <c r="K470" s="67"/>
      <c r="L470" s="67"/>
      <c r="M470" s="68"/>
      <c r="N470" s="68"/>
      <c r="O470" s="68"/>
      <c r="P470" s="68"/>
      <c r="Q470" s="68"/>
    </row>
    <row r="471" spans="8:17" x14ac:dyDescent="0.35">
      <c r="H471" s="67"/>
      <c r="I471" s="67"/>
      <c r="J471" s="67"/>
      <c r="K471" s="67"/>
      <c r="L471" s="67"/>
      <c r="M471" s="68"/>
      <c r="N471" s="68"/>
      <c r="O471" s="68"/>
      <c r="P471" s="68"/>
      <c r="Q471" s="68"/>
    </row>
    <row r="472" spans="8:17" x14ac:dyDescent="0.35">
      <c r="H472" s="67"/>
      <c r="I472" s="67"/>
      <c r="J472" s="67"/>
      <c r="K472" s="67"/>
      <c r="L472" s="67"/>
      <c r="M472" s="68"/>
      <c r="N472" s="68"/>
      <c r="O472" s="68"/>
      <c r="P472" s="68"/>
      <c r="Q472" s="68"/>
    </row>
    <row r="473" spans="8:17" x14ac:dyDescent="0.35">
      <c r="H473" s="67"/>
      <c r="I473" s="67"/>
      <c r="J473" s="67"/>
      <c r="K473" s="67"/>
      <c r="L473" s="67"/>
      <c r="M473" s="68"/>
      <c r="N473" s="68"/>
      <c r="O473" s="68"/>
      <c r="P473" s="68"/>
      <c r="Q473" s="68"/>
    </row>
    <row r="474" spans="8:17" x14ac:dyDescent="0.35">
      <c r="H474" s="67"/>
      <c r="I474" s="67"/>
      <c r="J474" s="67"/>
      <c r="K474" s="67"/>
      <c r="L474" s="67"/>
      <c r="M474" s="68"/>
      <c r="N474" s="68"/>
      <c r="O474" s="68"/>
      <c r="P474" s="68"/>
      <c r="Q474" s="68"/>
    </row>
  </sheetData>
  <dataConsolidate/>
  <conditionalFormatting sqref="C79:C83">
    <cfRule type="cellIs" dxfId="259" priority="68" operator="equal">
      <formula>TRUE</formula>
    </cfRule>
  </conditionalFormatting>
  <conditionalFormatting sqref="C46">
    <cfRule type="cellIs" dxfId="258" priority="67" operator="equal">
      <formula>"Microsoft.KeyVault"</formula>
    </cfRule>
  </conditionalFormatting>
  <conditionalFormatting sqref="D34:D35">
    <cfRule type="cellIs" dxfId="257" priority="65" operator="equal">
      <formula>"YES"</formula>
    </cfRule>
    <cfRule type="cellIs" dxfId="256" priority="66" operator="equal">
      <formula>"NO"</formula>
    </cfRule>
  </conditionalFormatting>
  <conditionalFormatting sqref="D40:D44">
    <cfRule type="cellIs" dxfId="255" priority="61" operator="equal">
      <formula>"YES"</formula>
    </cfRule>
    <cfRule type="cellIs" dxfId="254" priority="62" operator="equal">
      <formula>"NO"</formula>
    </cfRule>
  </conditionalFormatting>
  <conditionalFormatting sqref="D50">
    <cfRule type="cellIs" dxfId="253" priority="59" operator="equal">
      <formula>"YES"</formula>
    </cfRule>
    <cfRule type="cellIs" dxfId="252" priority="60" operator="equal">
      <formula>"NO"</formula>
    </cfRule>
  </conditionalFormatting>
  <conditionalFormatting sqref="D53:D54">
    <cfRule type="cellIs" dxfId="251" priority="57" operator="equal">
      <formula>"YES"</formula>
    </cfRule>
    <cfRule type="cellIs" dxfId="250" priority="58" operator="equal">
      <formula>"NO"</formula>
    </cfRule>
  </conditionalFormatting>
  <conditionalFormatting sqref="D59">
    <cfRule type="cellIs" dxfId="249" priority="55" operator="equal">
      <formula>"YES"</formula>
    </cfRule>
    <cfRule type="cellIs" dxfId="248" priority="56" operator="equal">
      <formula>"NO"</formula>
    </cfRule>
  </conditionalFormatting>
  <conditionalFormatting sqref="D65">
    <cfRule type="cellIs" dxfId="247" priority="53" operator="equal">
      <formula>"YES"</formula>
    </cfRule>
    <cfRule type="cellIs" dxfId="246" priority="54" operator="equal">
      <formula>"NO"</formula>
    </cfRule>
  </conditionalFormatting>
  <conditionalFormatting sqref="D74">
    <cfRule type="cellIs" dxfId="245" priority="51" operator="equal">
      <formula>"YES"</formula>
    </cfRule>
    <cfRule type="cellIs" dxfId="244" priority="52" operator="equal">
      <formula>"NO"</formula>
    </cfRule>
  </conditionalFormatting>
  <conditionalFormatting sqref="D86:D87">
    <cfRule type="cellIs" dxfId="243" priority="49" operator="equal">
      <formula>"YES"</formula>
    </cfRule>
    <cfRule type="cellIs" dxfId="242" priority="50" operator="equal">
      <formula>"NO"</formula>
    </cfRule>
  </conditionalFormatting>
  <conditionalFormatting sqref="D94">
    <cfRule type="cellIs" dxfId="241" priority="47" operator="equal">
      <formula>"YES"</formula>
    </cfRule>
    <cfRule type="cellIs" dxfId="240" priority="48" operator="equal">
      <formula>"NO"</formula>
    </cfRule>
  </conditionalFormatting>
  <conditionalFormatting sqref="D100">
    <cfRule type="cellIs" dxfId="239" priority="45" operator="equal">
      <formula>"YES"</formula>
    </cfRule>
    <cfRule type="cellIs" dxfId="238" priority="46" operator="equal">
      <formula>"NO"</formula>
    </cfRule>
  </conditionalFormatting>
  <conditionalFormatting sqref="D130">
    <cfRule type="cellIs" dxfId="237" priority="43" operator="equal">
      <formula>"YES"</formula>
    </cfRule>
    <cfRule type="cellIs" dxfId="236" priority="44" operator="equal">
      <formula>"NO"</formula>
    </cfRule>
  </conditionalFormatting>
  <conditionalFormatting sqref="D140">
    <cfRule type="cellIs" dxfId="235" priority="41" operator="equal">
      <formula>"YES"</formula>
    </cfRule>
    <cfRule type="cellIs" dxfId="234" priority="42" operator="equal">
      <formula>"NO"</formula>
    </cfRule>
  </conditionalFormatting>
  <conditionalFormatting sqref="D139">
    <cfRule type="cellIs" dxfId="233" priority="39" operator="equal">
      <formula>"YES"</formula>
    </cfRule>
    <cfRule type="cellIs" dxfId="232" priority="40" operator="equal">
      <formula>"NO"</formula>
    </cfRule>
  </conditionalFormatting>
  <conditionalFormatting sqref="D147">
    <cfRule type="cellIs" dxfId="231" priority="37" operator="equal">
      <formula>"YES"</formula>
    </cfRule>
    <cfRule type="cellIs" dxfId="230" priority="38" operator="equal">
      <formula>"NO"</formula>
    </cfRule>
  </conditionalFormatting>
  <conditionalFormatting sqref="D192">
    <cfRule type="cellIs" dxfId="229" priority="35" operator="equal">
      <formula>"YES"</formula>
    </cfRule>
    <cfRule type="cellIs" dxfId="228" priority="36" operator="equal">
      <formula>"NO"</formula>
    </cfRule>
  </conditionalFormatting>
  <conditionalFormatting sqref="D213">
    <cfRule type="cellIs" dxfId="227" priority="33" operator="equal">
      <formula>"YES"</formula>
    </cfRule>
    <cfRule type="cellIs" dxfId="226" priority="34" operator="equal">
      <formula>"NO"</formula>
    </cfRule>
  </conditionalFormatting>
  <conditionalFormatting sqref="D234">
    <cfRule type="cellIs" dxfId="225" priority="31" operator="equal">
      <formula>"YES"</formula>
    </cfRule>
    <cfRule type="cellIs" dxfId="224" priority="32" operator="equal">
      <formula>"NO"</formula>
    </cfRule>
  </conditionalFormatting>
  <conditionalFormatting sqref="D244">
    <cfRule type="cellIs" dxfId="223" priority="29" operator="equal">
      <formula>"YES"</formula>
    </cfRule>
    <cfRule type="cellIs" dxfId="222" priority="30" operator="equal">
      <formula>"NO"</formula>
    </cfRule>
  </conditionalFormatting>
  <conditionalFormatting sqref="D260">
    <cfRule type="cellIs" dxfId="221" priority="27" operator="equal">
      <formula>"YES"</formula>
    </cfRule>
    <cfRule type="cellIs" dxfId="220" priority="28" operator="equal">
      <formula>"NO"</formula>
    </cfRule>
  </conditionalFormatting>
  <conditionalFormatting sqref="D269">
    <cfRule type="cellIs" dxfId="219" priority="25" operator="equal">
      <formula>"YES"</formula>
    </cfRule>
    <cfRule type="cellIs" dxfId="218" priority="26" operator="equal">
      <formula>"NO"</formula>
    </cfRule>
  </conditionalFormatting>
  <conditionalFormatting sqref="D278">
    <cfRule type="cellIs" dxfId="217" priority="23" operator="equal">
      <formula>"YES"</formula>
    </cfRule>
    <cfRule type="cellIs" dxfId="216" priority="24" operator="equal">
      <formula>"NO"</formula>
    </cfRule>
  </conditionalFormatting>
  <conditionalFormatting sqref="D287">
    <cfRule type="cellIs" dxfId="215" priority="21" operator="equal">
      <formula>"YES"</formula>
    </cfRule>
    <cfRule type="cellIs" dxfId="214" priority="22" operator="equal">
      <formula>"NO"</formula>
    </cfRule>
  </conditionalFormatting>
  <conditionalFormatting sqref="D304">
    <cfRule type="cellIs" dxfId="213" priority="19" operator="equal">
      <formula>"YES"</formula>
    </cfRule>
    <cfRule type="cellIs" dxfId="212" priority="20" operator="equal">
      <formula>"NO"</formula>
    </cfRule>
  </conditionalFormatting>
  <conditionalFormatting sqref="D318">
    <cfRule type="cellIs" dxfId="211" priority="17" operator="equal">
      <formula>"YES"</formula>
    </cfRule>
    <cfRule type="cellIs" dxfId="210" priority="18" operator="equal">
      <formula>"NO"</formula>
    </cfRule>
  </conditionalFormatting>
  <conditionalFormatting sqref="D325">
    <cfRule type="cellIs" dxfId="209" priority="15" operator="equal">
      <formula>"YES"</formula>
    </cfRule>
    <cfRule type="cellIs" dxfId="208" priority="16" operator="equal">
      <formula>"NO"</formula>
    </cfRule>
  </conditionalFormatting>
  <conditionalFormatting sqref="D337">
    <cfRule type="cellIs" dxfId="207" priority="13" operator="equal">
      <formula>"YES"</formula>
    </cfRule>
    <cfRule type="cellIs" dxfId="206" priority="14" operator="equal">
      <formula>"NO"</formula>
    </cfRule>
  </conditionalFormatting>
  <conditionalFormatting sqref="D341">
    <cfRule type="cellIs" dxfId="205" priority="11" operator="equal">
      <formula>"YES"</formula>
    </cfRule>
    <cfRule type="cellIs" dxfId="204" priority="12" operator="equal">
      <formula>"NO"</formula>
    </cfRule>
  </conditionalFormatting>
  <conditionalFormatting sqref="D353">
    <cfRule type="cellIs" dxfId="203" priority="9" operator="equal">
      <formula>"YES"</formula>
    </cfRule>
    <cfRule type="cellIs" dxfId="202" priority="10" operator="equal">
      <formula>"NO"</formula>
    </cfRule>
  </conditionalFormatting>
  <conditionalFormatting sqref="D363">
    <cfRule type="cellIs" dxfId="201" priority="7" operator="equal">
      <formula>"YES"</formula>
    </cfRule>
    <cfRule type="cellIs" dxfId="200" priority="8" operator="equal">
      <formula>"NO"</formula>
    </cfRule>
  </conditionalFormatting>
  <conditionalFormatting sqref="D376">
    <cfRule type="cellIs" dxfId="199" priority="5" operator="equal">
      <formula>"YES"</formula>
    </cfRule>
    <cfRule type="cellIs" dxfId="198" priority="6" operator="equal">
      <formula>"NO"</formula>
    </cfRule>
  </conditionalFormatting>
  <conditionalFormatting sqref="D388">
    <cfRule type="cellIs" dxfId="197" priority="3" operator="equal">
      <formula>"YES"</formula>
    </cfRule>
    <cfRule type="cellIs" dxfId="196" priority="4" operator="equal">
      <formula>"NO"</formula>
    </cfRule>
  </conditionalFormatting>
  <conditionalFormatting sqref="D413">
    <cfRule type="cellIs" dxfId="195" priority="1" operator="equal">
      <formula>"YES"</formula>
    </cfRule>
    <cfRule type="cellIs" dxfId="194" priority="2" operator="equal">
      <formula>"NO"</formula>
    </cfRule>
  </conditionalFormatting>
  <dataValidations count="4">
    <dataValidation type="list" allowBlank="1" showInputMessage="1" showErrorMessage="1" sqref="C257" xr:uid="{ED0FD018-7D83-4EED-8A46-B5FBD5A43447}">
      <formula1>$H$257:$I$257</formula1>
    </dataValidation>
    <dataValidation type="list" allowBlank="1" showInputMessage="1" showErrorMessage="1" sqref="B411 C323 C243 C316 C351 C386 C361:C362 C374 C249:C251 C246 C257 E101:F104" xr:uid="{01DD06A3-CE3D-4711-A4EA-BE483FAA9A3D}">
      <formula1>#REF!</formula1>
    </dataValidation>
    <dataValidation type="list" allowBlank="1" showInputMessage="1" showErrorMessage="1" sqref="D430 D52 D48:D49" xr:uid="{11046C02-7147-46CF-8671-DB545274A024}">
      <formula1>INDIRECT("Resources!$G$1:$H$1")</formula1>
    </dataValidation>
    <dataValidation type="list" allowBlank="1" showInputMessage="1" showErrorMessage="1" sqref="D34:D35 D40:D44 D50 D53:D54 D59 D65 D74 D86:D87 D94 D100 D130 D139:D140 D147 D192 D213 D234 D244 D260 D269 D278 D287 D304 D318 D325 D337 D341 D353 D363 D376 D388 D413" xr:uid="{2763F244-BBC6-4891-9F35-724DC3C87CFD}">
      <formula1>INDIRECT("Resources!$H$1:$I$1")</formula1>
    </dataValidation>
  </dataValidations>
  <hyperlinks>
    <hyperlink ref="B32" r:id="rId1" xr:uid="{C96AB328-C008-4F3F-9927-D484F583B5B8}"/>
    <hyperlink ref="B38" r:id="rId2" xr:uid="{CB585988-7BBA-448B-A880-679598A67762}"/>
    <hyperlink ref="B97" r:id="rId3" xr:uid="{0E084AE9-AACB-4866-8E32-222DD0E380F5}"/>
    <hyperlink ref="B243" r:id="rId4" xr:uid="{243554FE-1ACA-48B2-AB84-BA7297F4D1AD}"/>
    <hyperlink ref="A448" r:id="rId5" xr:uid="{D3AFF845-446E-4D0A-A612-A152E51EF9AC}"/>
    <hyperlink ref="A449" r:id="rId6" xr:uid="{E98DA500-B6DB-41FE-8B38-BFE30D3F3825}"/>
    <hyperlink ref="A450" r:id="rId7" xr:uid="{CDF0A32D-7320-4126-ADC7-611E8EC68115}"/>
    <hyperlink ref="H66" r:id="rId8" location="private-link-resource" xr:uid="{DD97B07B-8A5C-4D86-BDD2-ED1A77993AA9}"/>
    <hyperlink ref="H102" r:id="rId9" xr:uid="{E3781B85-067D-4896-9D79-0712541437B2}"/>
    <hyperlink ref="B145" r:id="rId10" xr:uid="{F6893C7E-D130-40E5-B1F7-A791E45F29CD}"/>
    <hyperlink ref="B52" r:id="rId11" xr:uid="{47BF531F-9D97-4D61-A8D8-306C4247CD85}"/>
    <hyperlink ref="B57" r:id="rId12" xr:uid="{67E29879-CD76-458C-876D-0DDA3A5B33BF}"/>
    <hyperlink ref="B62" r:id="rId13" xr:uid="{326061CA-E75A-4564-A156-BCD5A43365EF}"/>
    <hyperlink ref="B71" r:id="rId14" xr:uid="{2F62AAA9-8963-4D45-903A-2E57496D4688}"/>
    <hyperlink ref="B48" r:id="rId15" xr:uid="{8BBF46BD-796E-48ED-B592-AFCC686F4DC9}"/>
    <hyperlink ref="B85" r:id="rId16" xr:uid="{233B814A-BA5A-4214-B471-1BAA2A3937BB}"/>
    <hyperlink ref="B92" r:id="rId17" xr:uid="{015CEA14-491F-43A2-B6BF-9E00CD08ACFC}"/>
    <hyperlink ref="B121" r:id="rId18" xr:uid="{D8E9808C-3432-4EC8-B952-C572F2CF1385}"/>
    <hyperlink ref="B128" r:id="rId19" xr:uid="{7A79A58A-DC42-4A3C-B069-8B806AFDF5B2}"/>
    <hyperlink ref="B138" r:id="rId20" xr:uid="{7D9A96C8-05C9-4E03-8CC1-04BD5ACC9405}"/>
    <hyperlink ref="C241" location="'ACR NRS'!A1" display="Continue here" xr:uid="{8F34F684-A5CF-489D-9EC6-69CEBF635BA4}"/>
    <hyperlink ref="C55" location="NSG!A1" display="Continue_here" xr:uid="{4AD5DF16-3CF8-495C-8770-39AC674D8C48}"/>
    <hyperlink ref="C253" location="'APGW'!A1" display="Continue here" xr:uid="{EBC4B401-7D0D-46E9-B5F7-0C114E223384}"/>
    <hyperlink ref="I394" r:id="rId21" location="maintenance_configuration_name-1" xr:uid="{9C4E98D3-3F10-4087-A1C5-EF98912C7469}"/>
  </hyperlinks>
  <pageMargins left="0.7" right="0.7" top="0.75" bottom="0.75" header="0.3" footer="0.3"/>
  <pageSetup orientation="portrait" horizontalDpi="200" verticalDpi="200" r:id="rId22"/>
  <ignoredErrors>
    <ignoredError sqref="H296" numberStoredAsText="1"/>
  </ignoredErrors>
  <legacyDrawing r:id="rId23"/>
  <tableParts count="35">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9E3A-76A9-4A68-8981-7F323582F627}">
  <dimension ref="A1:L23"/>
  <sheetViews>
    <sheetView workbookViewId="0">
      <selection activeCell="C27" sqref="C27"/>
    </sheetView>
  </sheetViews>
  <sheetFormatPr defaultRowHeight="14.5" x14ac:dyDescent="0.35"/>
  <cols>
    <col min="1" max="1" width="39.7265625" customWidth="1"/>
    <col min="2" max="2" width="10" bestFit="1" customWidth="1"/>
    <col min="3" max="3" width="11.453125" bestFit="1" customWidth="1"/>
    <col min="4" max="4" width="9" bestFit="1" customWidth="1"/>
    <col min="5" max="5" width="11" bestFit="1" customWidth="1"/>
    <col min="6" max="12" width="36.7265625" customWidth="1"/>
  </cols>
  <sheetData>
    <row r="1" spans="1:12" s="1" customFormat="1" x14ac:dyDescent="0.35">
      <c r="A1" t="s">
        <v>82</v>
      </c>
      <c r="B1" t="s">
        <v>813</v>
      </c>
      <c r="C1" t="s">
        <v>814</v>
      </c>
      <c r="D1" t="s">
        <v>815</v>
      </c>
      <c r="E1" t="s">
        <v>816</v>
      </c>
      <c r="F1" t="s">
        <v>817</v>
      </c>
      <c r="G1" t="s">
        <v>818</v>
      </c>
      <c r="H1" t="s">
        <v>819</v>
      </c>
      <c r="I1" t="s">
        <v>820</v>
      </c>
      <c r="J1" t="s">
        <v>821</v>
      </c>
      <c r="K1" t="s">
        <v>822</v>
      </c>
      <c r="L1" t="s">
        <v>823</v>
      </c>
    </row>
    <row r="2" spans="1:12" x14ac:dyDescent="0.35">
      <c r="C2" t="s">
        <v>824</v>
      </c>
      <c r="D2" t="s">
        <v>825</v>
      </c>
      <c r="E2" t="s">
        <v>826</v>
      </c>
      <c r="F2" t="s">
        <v>827</v>
      </c>
    </row>
    <row r="3" spans="1:12" x14ac:dyDescent="0.35">
      <c r="C3" t="s">
        <v>824</v>
      </c>
      <c r="D3" t="s">
        <v>825</v>
      </c>
      <c r="E3" t="s">
        <v>826</v>
      </c>
      <c r="F3" t="s">
        <v>827</v>
      </c>
    </row>
    <row r="4" spans="1:12" ht="8.25" customHeight="1" x14ac:dyDescent="0.35">
      <c r="A4" s="105"/>
      <c r="B4" s="105"/>
      <c r="C4" s="105"/>
      <c r="D4" s="105"/>
      <c r="E4" s="105"/>
      <c r="F4" s="105"/>
      <c r="G4" s="105"/>
      <c r="H4" s="105"/>
      <c r="I4" s="105"/>
      <c r="J4" s="105"/>
      <c r="K4" s="105"/>
      <c r="L4" s="105"/>
    </row>
    <row r="5" spans="1:12" x14ac:dyDescent="0.35">
      <c r="C5" t="s">
        <v>828</v>
      </c>
      <c r="D5" t="s">
        <v>825</v>
      </c>
      <c r="E5" t="s">
        <v>826</v>
      </c>
      <c r="F5" t="s">
        <v>827</v>
      </c>
    </row>
    <row r="6" spans="1:12" x14ac:dyDescent="0.35">
      <c r="C6" t="s">
        <v>828</v>
      </c>
      <c r="D6" t="s">
        <v>825</v>
      </c>
      <c r="E6" t="s">
        <v>826</v>
      </c>
      <c r="F6" t="s">
        <v>827</v>
      </c>
    </row>
    <row r="18" spans="2:9" x14ac:dyDescent="0.35">
      <c r="B18" s="66" t="s">
        <v>828</v>
      </c>
      <c r="C18" s="66" t="s">
        <v>825</v>
      </c>
      <c r="D18" s="66" t="s">
        <v>826</v>
      </c>
      <c r="F18" s="67"/>
      <c r="G18" s="67"/>
      <c r="H18" s="67"/>
      <c r="I18" s="68"/>
    </row>
    <row r="19" spans="2:9" x14ac:dyDescent="0.35">
      <c r="B19" s="66" t="s">
        <v>824</v>
      </c>
      <c r="C19" s="66" t="s">
        <v>829</v>
      </c>
      <c r="D19" s="66" t="s">
        <v>830</v>
      </c>
      <c r="F19" s="67"/>
      <c r="G19" s="67"/>
      <c r="H19" s="67"/>
      <c r="I19" s="68"/>
    </row>
    <row r="20" spans="2:9" x14ac:dyDescent="0.35">
      <c r="D20" s="66" t="s">
        <v>831</v>
      </c>
    </row>
    <row r="21" spans="2:9" x14ac:dyDescent="0.35">
      <c r="D21" s="66" t="s">
        <v>832</v>
      </c>
    </row>
    <row r="22" spans="2:9" x14ac:dyDescent="0.35">
      <c r="D22" s="66" t="s">
        <v>833</v>
      </c>
    </row>
    <row r="23" spans="2:9" x14ac:dyDescent="0.35">
      <c r="D23" s="69" t="s">
        <v>827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AC810-EA50-40CF-B902-FA0711140EAA}">
  <dimension ref="A1:B99"/>
  <sheetViews>
    <sheetView workbookViewId="0">
      <selection activeCell="A9" sqref="A9"/>
    </sheetView>
  </sheetViews>
  <sheetFormatPr defaultRowHeight="14.5" x14ac:dyDescent="0.35"/>
  <cols>
    <col min="1" max="1" width="43" bestFit="1" customWidth="1"/>
    <col min="2" max="2" width="133.81640625" bestFit="1" customWidth="1"/>
  </cols>
  <sheetData>
    <row r="1" spans="1:2" x14ac:dyDescent="0.35">
      <c r="A1" t="s">
        <v>834</v>
      </c>
      <c r="B1" s="7" t="s">
        <v>5</v>
      </c>
    </row>
    <row r="2" spans="1:2" x14ac:dyDescent="0.35">
      <c r="A2" s="80" t="s">
        <v>82</v>
      </c>
      <c r="B2" s="7" t="s">
        <v>835</v>
      </c>
    </row>
    <row r="3" spans="1:2" x14ac:dyDescent="0.35">
      <c r="A3" t="s">
        <v>836</v>
      </c>
      <c r="B3" s="7" t="s">
        <v>274</v>
      </c>
    </row>
    <row r="4" spans="1:2" x14ac:dyDescent="0.35">
      <c r="A4" t="s">
        <v>837</v>
      </c>
      <c r="B4" s="7"/>
    </row>
    <row r="5" spans="1:2" x14ac:dyDescent="0.35">
      <c r="B5" s="7"/>
    </row>
    <row r="6" spans="1:2" x14ac:dyDescent="0.35">
      <c r="A6" t="s">
        <v>838</v>
      </c>
      <c r="B6" s="7" t="s">
        <v>5</v>
      </c>
    </row>
    <row r="7" spans="1:2" x14ac:dyDescent="0.35">
      <c r="A7" t="s">
        <v>839</v>
      </c>
      <c r="B7" s="7" t="s">
        <v>273</v>
      </c>
    </row>
    <row r="8" spans="1:2" x14ac:dyDescent="0.35">
      <c r="A8" s="80" t="s">
        <v>840</v>
      </c>
      <c r="B8" s="7" t="s">
        <v>841</v>
      </c>
    </row>
    <row r="9" spans="1:2" x14ac:dyDescent="0.35">
      <c r="A9" s="80" t="s">
        <v>842</v>
      </c>
      <c r="B9" s="7" t="s">
        <v>273</v>
      </c>
    </row>
    <row r="10" spans="1:2" x14ac:dyDescent="0.35">
      <c r="A10" s="80" t="s">
        <v>82</v>
      </c>
      <c r="B10" s="7" t="s">
        <v>843</v>
      </c>
    </row>
    <row r="11" spans="1:2" x14ac:dyDescent="0.35">
      <c r="A11" t="s">
        <v>844</v>
      </c>
      <c r="B11" s="7" t="s">
        <v>273</v>
      </c>
    </row>
    <row r="12" spans="1:2" x14ac:dyDescent="0.35">
      <c r="A12" t="s">
        <v>845</v>
      </c>
      <c r="B12" s="7" t="b">
        <v>0</v>
      </c>
    </row>
    <row r="13" spans="1:2" x14ac:dyDescent="0.35">
      <c r="A13" t="s">
        <v>846</v>
      </c>
      <c r="B13" s="7">
        <v>80</v>
      </c>
    </row>
    <row r="14" spans="1:2" x14ac:dyDescent="0.35">
      <c r="A14" t="s">
        <v>847</v>
      </c>
      <c r="B14" s="7" t="s">
        <v>848</v>
      </c>
    </row>
    <row r="15" spans="1:2" x14ac:dyDescent="0.35">
      <c r="A15" s="80" t="s">
        <v>816</v>
      </c>
      <c r="B15" s="7" t="s">
        <v>849</v>
      </c>
    </row>
    <row r="16" spans="1:2" x14ac:dyDescent="0.35">
      <c r="A16" t="s">
        <v>850</v>
      </c>
      <c r="B16" s="7">
        <v>30</v>
      </c>
    </row>
    <row r="17" spans="1:2" x14ac:dyDescent="0.35">
      <c r="A17" t="s">
        <v>851</v>
      </c>
      <c r="B17" s="7" t="s">
        <v>274</v>
      </c>
    </row>
    <row r="18" spans="1:2" x14ac:dyDescent="0.35">
      <c r="B18" s="7"/>
    </row>
    <row r="19" spans="1:2" x14ac:dyDescent="0.35">
      <c r="A19" t="s">
        <v>852</v>
      </c>
      <c r="B19" s="7" t="s">
        <v>5</v>
      </c>
    </row>
    <row r="20" spans="1:2" x14ac:dyDescent="0.35">
      <c r="A20" s="80" t="s">
        <v>82</v>
      </c>
      <c r="B20" s="7" t="s">
        <v>853</v>
      </c>
    </row>
    <row r="21" spans="1:2" x14ac:dyDescent="0.35">
      <c r="A21" s="80" t="s">
        <v>854</v>
      </c>
      <c r="B21" s="7" t="s">
        <v>269</v>
      </c>
    </row>
    <row r="22" spans="1:2" x14ac:dyDescent="0.35">
      <c r="A22" t="s">
        <v>855</v>
      </c>
      <c r="B22" s="7" t="s">
        <v>273</v>
      </c>
    </row>
    <row r="23" spans="1:2" x14ac:dyDescent="0.35">
      <c r="A23" t="s">
        <v>856</v>
      </c>
      <c r="B23" s="7" t="s">
        <v>273</v>
      </c>
    </row>
    <row r="24" spans="1:2" x14ac:dyDescent="0.35">
      <c r="A24" t="s">
        <v>857</v>
      </c>
      <c r="B24" s="7" t="s">
        <v>273</v>
      </c>
    </row>
    <row r="25" spans="1:2" x14ac:dyDescent="0.35">
      <c r="A25" t="s">
        <v>858</v>
      </c>
      <c r="B25" s="7" t="s">
        <v>273</v>
      </c>
    </row>
    <row r="26" spans="1:2" x14ac:dyDescent="0.35">
      <c r="B26" s="7"/>
    </row>
    <row r="27" spans="1:2" x14ac:dyDescent="0.35">
      <c r="A27" t="s">
        <v>852</v>
      </c>
      <c r="B27" s="7" t="s">
        <v>5</v>
      </c>
    </row>
    <row r="28" spans="1:2" x14ac:dyDescent="0.35">
      <c r="A28" s="80" t="s">
        <v>82</v>
      </c>
      <c r="B28" s="7" t="s">
        <v>859</v>
      </c>
    </row>
    <row r="29" spans="1:2" x14ac:dyDescent="0.35">
      <c r="A29" s="80" t="s">
        <v>854</v>
      </c>
      <c r="B29" s="7" t="s">
        <v>177</v>
      </c>
    </row>
    <row r="30" spans="1:2" x14ac:dyDescent="0.35">
      <c r="A30" t="s">
        <v>855</v>
      </c>
      <c r="B30" s="7"/>
    </row>
    <row r="31" spans="1:2" x14ac:dyDescent="0.35">
      <c r="A31" t="s">
        <v>856</v>
      </c>
      <c r="B31" s="7" t="s">
        <v>273</v>
      </c>
    </row>
    <row r="32" spans="1:2" x14ac:dyDescent="0.35">
      <c r="A32" t="s">
        <v>857</v>
      </c>
      <c r="B32" s="7" t="s">
        <v>273</v>
      </c>
    </row>
    <row r="33" spans="1:2" x14ac:dyDescent="0.35">
      <c r="A33" t="s">
        <v>122</v>
      </c>
      <c r="B33" s="7" t="s">
        <v>860</v>
      </c>
    </row>
    <row r="35" spans="1:2" x14ac:dyDescent="0.35">
      <c r="A35" t="s">
        <v>861</v>
      </c>
      <c r="B35" s="7" t="s">
        <v>5</v>
      </c>
    </row>
    <row r="36" spans="1:2" x14ac:dyDescent="0.35">
      <c r="A36" s="80" t="s">
        <v>82</v>
      </c>
      <c r="B36" s="81" t="s">
        <v>862</v>
      </c>
    </row>
    <row r="37" spans="1:2" x14ac:dyDescent="0.35">
      <c r="A37" s="80" t="s">
        <v>846</v>
      </c>
      <c r="B37" s="82">
        <v>443</v>
      </c>
    </row>
    <row r="38" spans="1:2" x14ac:dyDescent="0.35">
      <c r="A38" s="80"/>
      <c r="B38" s="82"/>
    </row>
    <row r="39" spans="1:2" x14ac:dyDescent="0.35">
      <c r="A39" t="s">
        <v>861</v>
      </c>
      <c r="B39" s="7" t="s">
        <v>5</v>
      </c>
    </row>
    <row r="40" spans="1:2" x14ac:dyDescent="0.35">
      <c r="A40" s="80" t="s">
        <v>82</v>
      </c>
      <c r="B40" s="81" t="s">
        <v>863</v>
      </c>
    </row>
    <row r="41" spans="1:2" x14ac:dyDescent="0.35">
      <c r="A41" s="80" t="s">
        <v>846</v>
      </c>
      <c r="B41" s="82">
        <v>80</v>
      </c>
    </row>
    <row r="43" spans="1:2" x14ac:dyDescent="0.35">
      <c r="A43" t="s">
        <v>864</v>
      </c>
      <c r="B43" s="7" t="s">
        <v>5</v>
      </c>
    </row>
    <row r="44" spans="1:2" x14ac:dyDescent="0.35">
      <c r="A44" t="s">
        <v>865</v>
      </c>
      <c r="B44" s="7" t="s">
        <v>273</v>
      </c>
    </row>
    <row r="45" spans="1:2" x14ac:dyDescent="0.35">
      <c r="A45" s="80" t="s">
        <v>866</v>
      </c>
      <c r="B45" s="7" t="s">
        <v>859</v>
      </c>
    </row>
    <row r="46" spans="1:2" x14ac:dyDescent="0.35">
      <c r="A46" s="80" t="s">
        <v>867</v>
      </c>
      <c r="B46" s="7" t="s">
        <v>863</v>
      </c>
    </row>
    <row r="47" spans="1:2" x14ac:dyDescent="0.35">
      <c r="A47" t="s">
        <v>842</v>
      </c>
      <c r="B47" s="7" t="s">
        <v>273</v>
      </c>
    </row>
    <row r="48" spans="1:2" x14ac:dyDescent="0.35">
      <c r="A48" t="s">
        <v>868</v>
      </c>
      <c r="B48" s="7"/>
    </row>
    <row r="49" spans="1:2" x14ac:dyDescent="0.35">
      <c r="A49" s="80" t="s">
        <v>82</v>
      </c>
      <c r="B49" s="7"/>
    </row>
    <row r="50" spans="1:2" x14ac:dyDescent="0.35">
      <c r="A50" s="80" t="s">
        <v>816</v>
      </c>
      <c r="B50" s="7" t="s">
        <v>849</v>
      </c>
    </row>
    <row r="51" spans="1:2" x14ac:dyDescent="0.35">
      <c r="A51" t="s">
        <v>869</v>
      </c>
      <c r="B51" s="7" t="b">
        <v>0</v>
      </c>
    </row>
    <row r="52" spans="1:2" x14ac:dyDescent="0.35">
      <c r="A52" t="s">
        <v>870</v>
      </c>
      <c r="B52" s="7"/>
    </row>
    <row r="53" spans="1:2" x14ac:dyDescent="0.35">
      <c r="A53" t="s">
        <v>871</v>
      </c>
      <c r="B53" s="7" t="s">
        <v>273</v>
      </c>
    </row>
    <row r="54" spans="1:2" x14ac:dyDescent="0.35">
      <c r="B54" s="7"/>
    </row>
    <row r="55" spans="1:2" x14ac:dyDescent="0.35">
      <c r="A55" t="s">
        <v>872</v>
      </c>
      <c r="B55" s="7" t="s">
        <v>5</v>
      </c>
    </row>
    <row r="56" spans="1:2" x14ac:dyDescent="0.35">
      <c r="A56" t="s">
        <v>873</v>
      </c>
      <c r="B56" s="7" t="s">
        <v>874</v>
      </c>
    </row>
    <row r="57" spans="1:2" x14ac:dyDescent="0.35">
      <c r="A57" s="80" t="s">
        <v>875</v>
      </c>
      <c r="B57" s="7">
        <v>30</v>
      </c>
    </row>
    <row r="58" spans="1:2" x14ac:dyDescent="0.35">
      <c r="A58" t="s">
        <v>876</v>
      </c>
      <c r="B58" s="7">
        <v>0</v>
      </c>
    </row>
    <row r="59" spans="1:2" x14ac:dyDescent="0.35">
      <c r="A59" s="80" t="s">
        <v>82</v>
      </c>
      <c r="B59" s="7" t="s">
        <v>848</v>
      </c>
    </row>
    <row r="60" spans="1:2" x14ac:dyDescent="0.35">
      <c r="A60" s="80" t="s">
        <v>844</v>
      </c>
      <c r="B60" s="7" t="s">
        <v>877</v>
      </c>
    </row>
    <row r="61" spans="1:2" x14ac:dyDescent="0.35">
      <c r="A61" t="s">
        <v>878</v>
      </c>
      <c r="B61" s="7" t="b">
        <v>0</v>
      </c>
    </row>
    <row r="62" spans="1:2" x14ac:dyDescent="0.35">
      <c r="A62" t="s">
        <v>846</v>
      </c>
      <c r="B62" s="7">
        <v>0</v>
      </c>
    </row>
    <row r="63" spans="1:2" x14ac:dyDescent="0.35">
      <c r="A63" s="80" t="s">
        <v>816</v>
      </c>
      <c r="B63" s="7" t="s">
        <v>849</v>
      </c>
    </row>
    <row r="64" spans="1:2" x14ac:dyDescent="0.35">
      <c r="A64" s="80" t="s">
        <v>879</v>
      </c>
      <c r="B64" s="7">
        <v>30</v>
      </c>
    </row>
    <row r="65" spans="1:2" x14ac:dyDescent="0.35">
      <c r="A65" s="80" t="s">
        <v>880</v>
      </c>
      <c r="B65" s="7">
        <v>3</v>
      </c>
    </row>
    <row r="66" spans="1:2" x14ac:dyDescent="0.35">
      <c r="A66" t="s">
        <v>881</v>
      </c>
      <c r="B66" s="7" t="s">
        <v>273</v>
      </c>
    </row>
    <row r="67" spans="1:2" x14ac:dyDescent="0.35">
      <c r="A67" s="80" t="s">
        <v>882</v>
      </c>
      <c r="B67" s="7" t="s">
        <v>883</v>
      </c>
    </row>
    <row r="68" spans="1:2" x14ac:dyDescent="0.35">
      <c r="B68" s="7"/>
    </row>
    <row r="69" spans="1:2" x14ac:dyDescent="0.35">
      <c r="A69" t="s">
        <v>884</v>
      </c>
      <c r="B69" s="7" t="s">
        <v>5</v>
      </c>
    </row>
    <row r="70" spans="1:2" x14ac:dyDescent="0.35">
      <c r="A70" t="s">
        <v>885</v>
      </c>
      <c r="B70" s="7" t="s">
        <v>835</v>
      </c>
    </row>
    <row r="71" spans="1:2" x14ac:dyDescent="0.35">
      <c r="A71" t="s">
        <v>886</v>
      </c>
      <c r="B71" s="7" t="s">
        <v>843</v>
      </c>
    </row>
    <row r="72" spans="1:2" x14ac:dyDescent="0.35">
      <c r="A72" s="80" t="s">
        <v>887</v>
      </c>
      <c r="B72" s="7" t="s">
        <v>888</v>
      </c>
    </row>
    <row r="73" spans="1:2" x14ac:dyDescent="0.35">
      <c r="A73" s="80" t="s">
        <v>82</v>
      </c>
      <c r="B73" s="7" t="s">
        <v>889</v>
      </c>
    </row>
    <row r="74" spans="1:2" x14ac:dyDescent="0.35">
      <c r="A74" t="s">
        <v>813</v>
      </c>
      <c r="B74" s="7">
        <v>19000</v>
      </c>
    </row>
    <row r="75" spans="1:2" x14ac:dyDescent="0.35">
      <c r="A75" t="s">
        <v>890</v>
      </c>
      <c r="B75" s="7" t="s">
        <v>273</v>
      </c>
    </row>
    <row r="76" spans="1:2" x14ac:dyDescent="0.35">
      <c r="A76" t="s">
        <v>891</v>
      </c>
      <c r="B76" s="7" t="s">
        <v>273</v>
      </c>
    </row>
    <row r="77" spans="1:2" x14ac:dyDescent="0.35">
      <c r="A77" s="80" t="s">
        <v>892</v>
      </c>
      <c r="B77" s="7" t="s">
        <v>465</v>
      </c>
    </row>
    <row r="78" spans="1:2" x14ac:dyDescent="0.35">
      <c r="A78" t="s">
        <v>893</v>
      </c>
      <c r="B78" s="7"/>
    </row>
    <row r="80" spans="1:2" x14ac:dyDescent="0.35">
      <c r="B80" s="7"/>
    </row>
    <row r="81" spans="1:2" x14ac:dyDescent="0.35">
      <c r="A81" t="s">
        <v>894</v>
      </c>
      <c r="B81" s="83" t="s">
        <v>5</v>
      </c>
    </row>
    <row r="82" spans="1:2" x14ac:dyDescent="0.35">
      <c r="A82" t="s">
        <v>82</v>
      </c>
      <c r="B82" s="85" t="s">
        <v>895</v>
      </c>
    </row>
    <row r="83" spans="1:2" x14ac:dyDescent="0.35">
      <c r="B83" s="7"/>
    </row>
    <row r="84" spans="1:2" x14ac:dyDescent="0.35">
      <c r="B84" s="7"/>
    </row>
    <row r="86" spans="1:2" x14ac:dyDescent="0.35">
      <c r="A86" t="s">
        <v>896</v>
      </c>
      <c r="B86" t="s">
        <v>5</v>
      </c>
    </row>
    <row r="87" spans="1:2" x14ac:dyDescent="0.35">
      <c r="A87" t="s">
        <v>897</v>
      </c>
      <c r="B87" t="s">
        <v>898</v>
      </c>
    </row>
    <row r="88" spans="1:2" x14ac:dyDescent="0.35">
      <c r="A88" t="s">
        <v>899</v>
      </c>
      <c r="B88" t="s">
        <v>900</v>
      </c>
    </row>
    <row r="89" spans="1:2" x14ac:dyDescent="0.35">
      <c r="A89" t="s">
        <v>901</v>
      </c>
      <c r="B89" t="s">
        <v>273</v>
      </c>
    </row>
    <row r="90" spans="1:2" x14ac:dyDescent="0.35">
      <c r="A90" t="s">
        <v>902</v>
      </c>
      <c r="B90" t="s">
        <v>895</v>
      </c>
    </row>
    <row r="91" spans="1:2" x14ac:dyDescent="0.35">
      <c r="A91" s="80" t="s">
        <v>82</v>
      </c>
      <c r="B91" t="s">
        <v>903</v>
      </c>
    </row>
    <row r="92" spans="1:2" x14ac:dyDescent="0.35">
      <c r="A92" s="84" t="s">
        <v>904</v>
      </c>
      <c r="B92" t="s">
        <v>5</v>
      </c>
    </row>
    <row r="93" spans="1:2" x14ac:dyDescent="0.35">
      <c r="A93" t="s">
        <v>885</v>
      </c>
      <c r="B93" t="s">
        <v>898</v>
      </c>
    </row>
    <row r="94" spans="1:2" x14ac:dyDescent="0.35">
      <c r="A94" t="s">
        <v>886</v>
      </c>
      <c r="B94" t="s">
        <v>900</v>
      </c>
    </row>
    <row r="95" spans="1:2" x14ac:dyDescent="0.35">
      <c r="A95" t="s">
        <v>865</v>
      </c>
      <c r="B95" t="s">
        <v>273</v>
      </c>
    </row>
    <row r="96" spans="1:2" x14ac:dyDescent="0.35">
      <c r="A96" s="80" t="s">
        <v>82</v>
      </c>
      <c r="B96" t="s">
        <v>905</v>
      </c>
    </row>
    <row r="97" spans="1:2" x14ac:dyDescent="0.35">
      <c r="A97" s="80" t="s">
        <v>906</v>
      </c>
      <c r="B97" t="s">
        <v>907</v>
      </c>
    </row>
    <row r="98" spans="1:2" x14ac:dyDescent="0.35">
      <c r="A98" t="s">
        <v>890</v>
      </c>
      <c r="B98" t="s">
        <v>273</v>
      </c>
    </row>
    <row r="99" spans="1:2" x14ac:dyDescent="0.35">
      <c r="A99" t="s">
        <v>891</v>
      </c>
      <c r="B99" t="s">
        <v>895</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7F597-7801-40FD-9F1D-32C7F834A832}">
  <dimension ref="A1:B1"/>
  <sheetViews>
    <sheetView workbookViewId="0">
      <selection activeCell="E15" sqref="E15"/>
    </sheetView>
  </sheetViews>
  <sheetFormatPr defaultRowHeight="14.5" x14ac:dyDescent="0.35"/>
  <cols>
    <col min="2" max="2" width="11.26953125" bestFit="1" customWidth="1"/>
  </cols>
  <sheetData>
    <row r="1" spans="1:2" x14ac:dyDescent="0.35">
      <c r="A1" s="65" t="s">
        <v>908</v>
      </c>
      <c r="B1" s="65" t="s">
        <v>909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7FFB5-CCED-4140-B26A-35F07ADB9CE1}">
  <sheetPr codeName="Sheet6"/>
  <dimension ref="A1:C49"/>
  <sheetViews>
    <sheetView workbookViewId="0">
      <selection activeCell="A5" sqref="A5"/>
    </sheetView>
  </sheetViews>
  <sheetFormatPr defaultRowHeight="14.5" x14ac:dyDescent="0.35"/>
  <cols>
    <col min="1" max="1" width="26.26953125" bestFit="1" customWidth="1"/>
    <col min="2" max="2" width="23.1796875" customWidth="1"/>
  </cols>
  <sheetData>
    <row r="1" spans="1:3" x14ac:dyDescent="0.35">
      <c r="A1" t="s">
        <v>3</v>
      </c>
      <c r="B1" t="s">
        <v>910</v>
      </c>
      <c r="C1" t="s">
        <v>911</v>
      </c>
    </row>
    <row r="2" spans="1:3" x14ac:dyDescent="0.35">
      <c r="A2" t="s">
        <v>912</v>
      </c>
      <c r="B2" t="s">
        <v>913</v>
      </c>
    </row>
    <row r="3" spans="1:3" x14ac:dyDescent="0.35">
      <c r="A3" t="s">
        <v>914</v>
      </c>
      <c r="B3" t="s">
        <v>915</v>
      </c>
    </row>
    <row r="4" spans="1:3" x14ac:dyDescent="0.35">
      <c r="A4" t="s">
        <v>86</v>
      </c>
    </row>
    <row r="5" spans="1:3" x14ac:dyDescent="0.35">
      <c r="A5" t="s">
        <v>916</v>
      </c>
    </row>
    <row r="6" spans="1:3" x14ac:dyDescent="0.35">
      <c r="A6" t="s">
        <v>917</v>
      </c>
    </row>
    <row r="7" spans="1:3" x14ac:dyDescent="0.35">
      <c r="A7" t="s">
        <v>918</v>
      </c>
    </row>
    <row r="8" spans="1:3" x14ac:dyDescent="0.35">
      <c r="A8" t="s">
        <v>919</v>
      </c>
    </row>
    <row r="9" spans="1:3" x14ac:dyDescent="0.35">
      <c r="A9" t="s">
        <v>920</v>
      </c>
    </row>
    <row r="10" spans="1:3" x14ac:dyDescent="0.35">
      <c r="A10" t="s">
        <v>921</v>
      </c>
    </row>
    <row r="11" spans="1:3" x14ac:dyDescent="0.35">
      <c r="A11" t="s">
        <v>922</v>
      </c>
    </row>
    <row r="12" spans="1:3" x14ac:dyDescent="0.35">
      <c r="A12" t="s">
        <v>0</v>
      </c>
    </row>
    <row r="13" spans="1:3" x14ac:dyDescent="0.35">
      <c r="A13" t="s">
        <v>923</v>
      </c>
    </row>
    <row r="14" spans="1:3" x14ac:dyDescent="0.35">
      <c r="A14" t="s">
        <v>924</v>
      </c>
    </row>
    <row r="15" spans="1:3" x14ac:dyDescent="0.35">
      <c r="A15" t="s">
        <v>925</v>
      </c>
    </row>
    <row r="16" spans="1:3" x14ac:dyDescent="0.35">
      <c r="A16" t="s">
        <v>926</v>
      </c>
    </row>
    <row r="17" spans="1:1" x14ac:dyDescent="0.35">
      <c r="A17" t="s">
        <v>927</v>
      </c>
    </row>
    <row r="18" spans="1:1" x14ac:dyDescent="0.35">
      <c r="A18" t="s">
        <v>928</v>
      </c>
    </row>
    <row r="19" spans="1:1" x14ac:dyDescent="0.35">
      <c r="A19" t="s">
        <v>929</v>
      </c>
    </row>
    <row r="20" spans="1:1" x14ac:dyDescent="0.35">
      <c r="A20" s="1" t="s">
        <v>930</v>
      </c>
    </row>
    <row r="21" spans="1:1" x14ac:dyDescent="0.35">
      <c r="A21" s="1" t="s">
        <v>931</v>
      </c>
    </row>
    <row r="22" spans="1:1" x14ac:dyDescent="0.35">
      <c r="A22" s="2" t="s">
        <v>932</v>
      </c>
    </row>
    <row r="23" spans="1:1" x14ac:dyDescent="0.35">
      <c r="A23" s="2" t="s">
        <v>933</v>
      </c>
    </row>
    <row r="24" spans="1:1" x14ac:dyDescent="0.35">
      <c r="A24" t="s">
        <v>934</v>
      </c>
    </row>
    <row r="25" spans="1:1" x14ac:dyDescent="0.35">
      <c r="A25" t="s">
        <v>935</v>
      </c>
    </row>
    <row r="26" spans="1:1" x14ac:dyDescent="0.35">
      <c r="A26" t="s">
        <v>936</v>
      </c>
    </row>
    <row r="27" spans="1:1" x14ac:dyDescent="0.35">
      <c r="A27" t="s">
        <v>937</v>
      </c>
    </row>
    <row r="28" spans="1:1" x14ac:dyDescent="0.35">
      <c r="A28" t="s">
        <v>938</v>
      </c>
    </row>
    <row r="29" spans="1:1" x14ac:dyDescent="0.35">
      <c r="A29" t="s">
        <v>939</v>
      </c>
    </row>
    <row r="30" spans="1:1" x14ac:dyDescent="0.35">
      <c r="A30" t="s">
        <v>940</v>
      </c>
    </row>
    <row r="31" spans="1:1" x14ac:dyDescent="0.35">
      <c r="A31" t="s">
        <v>941</v>
      </c>
    </row>
    <row r="32" spans="1:1" x14ac:dyDescent="0.35">
      <c r="A32" t="s">
        <v>942</v>
      </c>
    </row>
    <row r="33" spans="1:1" ht="14.25" customHeight="1" x14ac:dyDescent="0.35">
      <c r="A33" t="s">
        <v>943</v>
      </c>
    </row>
    <row r="34" spans="1:1" x14ac:dyDescent="0.35">
      <c r="A34" t="s">
        <v>929</v>
      </c>
    </row>
    <row r="35" spans="1:1" x14ac:dyDescent="0.35">
      <c r="A35" t="s">
        <v>944</v>
      </c>
    </row>
    <row r="36" spans="1:1" x14ac:dyDescent="0.35">
      <c r="A36" t="s">
        <v>945</v>
      </c>
    </row>
    <row r="47" spans="1:1" x14ac:dyDescent="0.35">
      <c r="A47" t="s">
        <v>946</v>
      </c>
    </row>
    <row r="48" spans="1:1" x14ac:dyDescent="0.35">
      <c r="A48" t="s">
        <v>947</v>
      </c>
    </row>
    <row r="49" spans="1:1" x14ac:dyDescent="0.35">
      <c r="A49" t="s">
        <v>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56C8A-3D68-4F2C-A991-5E8C4447426A}">
  <dimension ref="A1"/>
  <sheetViews>
    <sheetView workbookViewId="0">
      <selection activeCell="J26" sqref="J26"/>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779A0DBCF46B4394BDBA1693FBC55C" ma:contentTypeVersion="11" ma:contentTypeDescription="Create a new document." ma:contentTypeScope="" ma:versionID="a064df97aba9b5c4babf71e13ee219ee">
  <xsd:schema xmlns:xsd="http://www.w3.org/2001/XMLSchema" xmlns:xs="http://www.w3.org/2001/XMLSchema" xmlns:p="http://schemas.microsoft.com/office/2006/metadata/properties" xmlns:ns2="0bdee27d-b600-45b7-8c18-ece7e43d2de0" xmlns:ns3="29777449-dd95-4c20-a866-9fc2923cf18a" xmlns:ns4="65978687-0e99-4878-8553-2ab9a23ac43f" targetNamespace="http://schemas.microsoft.com/office/2006/metadata/properties" ma:root="true" ma:fieldsID="b9ec94a32959bdef78cfbf2e48c70932" ns2:_="" ns3:_="" ns4:_="">
    <xsd:import namespace="0bdee27d-b600-45b7-8c18-ece7e43d2de0"/>
    <xsd:import namespace="29777449-dd95-4c20-a866-9fc2923cf18a"/>
    <xsd:import namespace="65978687-0e99-4878-8553-2ab9a23ac43f"/>
    <xsd:element name="properties">
      <xsd:complexType>
        <xsd:sequence>
          <xsd:element name="documentManagement">
            <xsd:complexType>
              <xsd:all>
                <xsd:element ref="ns2:HUB_x0020_News_x0020_Feed_x0020_Page" minOccurs="0"/>
                <xsd:element ref="ns3:MediaServiceMetadata" minOccurs="0"/>
                <xsd:element ref="ns3:MediaServiceFastMetadata" minOccurs="0"/>
                <xsd:element ref="ns3:MediaServiceDateTaken" minOccurs="0"/>
                <xsd:element ref="ns3:MediaServiceObjectDetectorVersions" minOccurs="0"/>
                <xsd:element ref="ns3:MediaLengthInSeconds" minOccurs="0"/>
                <xsd:element ref="ns4:SharedWithUsers" minOccurs="0"/>
                <xsd:element ref="ns4:SharedWithDetail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dee27d-b600-45b7-8c18-ece7e43d2de0" elementFormDefault="qualified">
    <xsd:import namespace="http://schemas.microsoft.com/office/2006/documentManagement/types"/>
    <xsd:import namespace="http://schemas.microsoft.com/office/infopath/2007/PartnerControls"/>
    <xsd:element name="HUB_x0020_News_x0020_Feed_x0020_Page" ma:index="2" nillable="true" ma:displayName="HUB News Feed Page" ma:default="No" ma:description="This Column is for Tagging New News Post Pages for the approval process as a HUB News Page." ma:format="Dropdown" ma:internalName="HUB_x0020_News_x0020_Feed_x0020_Page">
      <xsd:simpleType>
        <xsd:restriction base="dms:Choice">
          <xsd:enumeration value="No"/>
          <xsd:enumeration value="Yes"/>
          <xsd:enumeration value="Published"/>
          <xsd:enumeration value="Draft"/>
        </xsd:restriction>
      </xsd:simpleType>
    </xsd:element>
  </xsd:schema>
  <xsd:schema xmlns:xsd="http://www.w3.org/2001/XMLSchema" xmlns:xs="http://www.w3.org/2001/XMLSchema" xmlns:dms="http://schemas.microsoft.com/office/2006/documentManagement/types" xmlns:pc="http://schemas.microsoft.com/office/infopath/2007/PartnerControls" targetNamespace="29777449-dd95-4c20-a866-9fc2923cf18a"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SearchProperties" ma:index="1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5978687-0e99-4878-8553-2ab9a23ac43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25c8be40-d04b-4ef9-94c7-e58a949748b3" ContentTypeId="0x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HUB_x0020_News_x0020_Feed_x0020_Page xmlns="0bdee27d-b600-45b7-8c18-ece7e43d2de0">No</HUB_x0020_News_x0020_Feed_x0020_Page>
  </documentManagement>
</p:properties>
</file>

<file path=customXml/itemProps1.xml><?xml version="1.0" encoding="utf-8"?>
<ds:datastoreItem xmlns:ds="http://schemas.openxmlformats.org/officeDocument/2006/customXml" ds:itemID="{1AE503F5-8538-41CA-A234-D16F2F8622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dee27d-b600-45b7-8c18-ece7e43d2de0"/>
    <ds:schemaRef ds:uri="29777449-dd95-4c20-a866-9fc2923cf18a"/>
    <ds:schemaRef ds:uri="65978687-0e99-4878-8553-2ab9a23ac4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8C2141-E578-402A-A587-88E5155E1750}">
  <ds:schemaRefs>
    <ds:schemaRef ds:uri="Microsoft.SharePoint.Taxonomy.ContentTypeSync"/>
  </ds:schemaRefs>
</ds:datastoreItem>
</file>

<file path=customXml/itemProps3.xml><?xml version="1.0" encoding="utf-8"?>
<ds:datastoreItem xmlns:ds="http://schemas.openxmlformats.org/officeDocument/2006/customXml" ds:itemID="{4B8BCCC4-58A8-4468-82BB-6333602F3195}">
  <ds:schemaRefs>
    <ds:schemaRef ds:uri="http://schemas.microsoft.com/sharepoint/v3/contenttype/forms"/>
  </ds:schemaRefs>
</ds:datastoreItem>
</file>

<file path=customXml/itemProps4.xml><?xml version="1.0" encoding="utf-8"?>
<ds:datastoreItem xmlns:ds="http://schemas.openxmlformats.org/officeDocument/2006/customXml" ds:itemID="{4B876EB7-943E-48C9-830D-6DCD1924A5F2}">
  <ds:schemaRefs>
    <ds:schemaRef ds:uri="http://schemas.microsoft.com/office/2006/metadata/properties"/>
    <ds:schemaRef ds:uri="http://schemas.microsoft.com/office/infopath/2007/PartnerControls"/>
    <ds:schemaRef ds:uri="0bdee27d-b600-45b7-8c18-ece7e43d2d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Build_ENV</vt:lpstr>
      <vt:lpstr>Resources</vt:lpstr>
      <vt:lpstr>NSG</vt:lpstr>
      <vt:lpstr>APGW</vt:lpstr>
      <vt:lpstr>ACR NRS</vt:lpstr>
      <vt:lpstr>Resource Options</vt:lpstr>
      <vt:lpstr>Issue and blockers </vt:lpstr>
    </vt:vector>
  </TitlesOfParts>
  <Manager/>
  <Company>Western Alliance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Travis Paskey</dc:creator>
  <cp:keywords/>
  <dc:description/>
  <cp:lastModifiedBy>Morgan Reed</cp:lastModifiedBy>
  <cp:revision/>
  <dcterms:created xsi:type="dcterms:W3CDTF">2024-03-05T17:47:47Z</dcterms:created>
  <dcterms:modified xsi:type="dcterms:W3CDTF">2025-11-18T16:08:58Z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0x01010064779A0DBCF46B4394BDBA1693FBC55C</vt:lpwstr>
  </property>
  <property fmtid="{D5CDD505-2E9C-101B-9397-08002B2CF9AE}" pid="3" name="MediaServiceImageTags">
    <vt:lpwstr/>
  </property>
  <property fmtid="{D5CDD505-2E9C-101B-9397-08002B2CF9AE}" pid="4" name="MSIP_Label_f2faa98e-5e14-4012-97f2-fd0286bcf20d_Enabled">
    <vt:lpwstr>true</vt:lpwstr>
  </property>
  <property fmtid="{D5CDD505-2E9C-101B-9397-08002B2CF9AE}" pid="5" name="MSIP_Label_f2faa98e-5e14-4012-97f2-fd0286bcf20d_SetDate">
    <vt:lpwstr>2025-11-18T16:08:56Z</vt:lpwstr>
  </property>
  <property fmtid="{D5CDD505-2E9C-101B-9397-08002B2CF9AE}" pid="6" name="MSIP_Label_f2faa98e-5e14-4012-97f2-fd0286bcf20d_Method">
    <vt:lpwstr>Privileged</vt:lpwstr>
  </property>
  <property fmtid="{D5CDD505-2E9C-101B-9397-08002B2CF9AE}" pid="7" name="MSIP_Label_f2faa98e-5e14-4012-97f2-fd0286bcf20d_Name">
    <vt:lpwstr>Public</vt:lpwstr>
  </property>
  <property fmtid="{D5CDD505-2E9C-101B-9397-08002B2CF9AE}" pid="8" name="MSIP_Label_f2faa98e-5e14-4012-97f2-fd0286bcf20d_SiteId">
    <vt:lpwstr>50c56ba2-8fca-42f4-8307-025e0d821d34</vt:lpwstr>
  </property>
  <property fmtid="{D5CDD505-2E9C-101B-9397-08002B2CF9AE}" pid="9" name="MSIP_Label_f2faa98e-5e14-4012-97f2-fd0286bcf20d_ActionId">
    <vt:lpwstr>1ea029e9-b441-4c27-ba9d-0811d566e658</vt:lpwstr>
  </property>
  <property fmtid="{D5CDD505-2E9C-101B-9397-08002B2CF9AE}" pid="10" name="MSIP_Label_f2faa98e-5e14-4012-97f2-fd0286bcf20d_ContentBits">
    <vt:lpwstr>0</vt:lpwstr>
  </property>
  <property fmtid="{D5CDD505-2E9C-101B-9397-08002B2CF9AE}" pid="11" name="MSIP_Label_f2faa98e-5e14-4012-97f2-fd0286bcf20d_Tag">
    <vt:lpwstr>10, 0, 1, 1</vt:lpwstr>
  </property>
</Properties>
</file>